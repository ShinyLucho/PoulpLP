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8"/>
  <workbookPr/>
  <mc:AlternateContent xmlns:mc="http://schemas.openxmlformats.org/markup-compatibility/2006">
    <mc:Choice Requires="x15">
      <x15ac:absPath xmlns:x15ac="http://schemas.microsoft.com/office/spreadsheetml/2010/11/ac" url="C:\Users\louis\Desktop\TP noté RCN 1\"/>
    </mc:Choice>
  </mc:AlternateContent>
  <xr:revisionPtr revIDLastSave="0" documentId="8_{803660BB-9660-406E-8659-CE4D43CB17F4}" xr6:coauthVersionLast="47" xr6:coauthVersionMax="47" xr10:uidLastSave="{00000000-0000-0000-0000-000000000000}"/>
  <bookViews>
    <workbookView xWindow="-108" yWindow="-108" windowWidth="23256" windowHeight="12456" xr2:uid="{D924FA9F-718D-4DEA-9EF3-5444FEC44514}"/>
  </bookViews>
  <sheets>
    <sheet name="Suivi des équip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2" i="2"/>
  <c r="D62" i="2"/>
  <c r="J10" i="2" s="1"/>
  <c r="K10" i="2" s="1"/>
  <c r="G3" i="2"/>
  <c r="H3" i="2" s="1"/>
  <c r="I3" i="2"/>
  <c r="G4" i="2"/>
  <c r="H4" i="2" s="1"/>
  <c r="I4" i="2"/>
  <c r="G5" i="2"/>
  <c r="H5" i="2" s="1"/>
  <c r="I5" i="2"/>
  <c r="G6" i="2"/>
  <c r="H6" i="2" s="1"/>
  <c r="I6" i="2"/>
  <c r="G7" i="2"/>
  <c r="H7" i="2" s="1"/>
  <c r="I7" i="2"/>
  <c r="G8" i="2"/>
  <c r="H8" i="2" s="1"/>
  <c r="I8" i="2"/>
  <c r="G9" i="2"/>
  <c r="H9" i="2" s="1"/>
  <c r="I9" i="2"/>
  <c r="G10" i="2"/>
  <c r="H10" i="2" s="1"/>
  <c r="I10" i="2"/>
  <c r="G11" i="2"/>
  <c r="H11" i="2" s="1"/>
  <c r="I11" i="2"/>
  <c r="G12" i="2"/>
  <c r="H12" i="2" s="1"/>
  <c r="I12" i="2"/>
  <c r="G13" i="2"/>
  <c r="H13" i="2" s="1"/>
  <c r="I13" i="2"/>
  <c r="G14" i="2"/>
  <c r="H14" i="2" s="1"/>
  <c r="I14" i="2"/>
  <c r="G15" i="2"/>
  <c r="H15" i="2" s="1"/>
  <c r="I15" i="2"/>
  <c r="G16" i="2"/>
  <c r="H16" i="2" s="1"/>
  <c r="I16" i="2"/>
  <c r="G17" i="2"/>
  <c r="H17" i="2" s="1"/>
  <c r="I17" i="2"/>
  <c r="G18" i="2"/>
  <c r="H18" i="2" s="1"/>
  <c r="I18" i="2"/>
  <c r="G19" i="2"/>
  <c r="H19" i="2" s="1"/>
  <c r="I19" i="2"/>
  <c r="G20" i="2"/>
  <c r="H20" i="2" s="1"/>
  <c r="I20" i="2"/>
  <c r="G21" i="2"/>
  <c r="H21" i="2" s="1"/>
  <c r="I21" i="2"/>
  <c r="G22" i="2"/>
  <c r="H22" i="2" s="1"/>
  <c r="I22" i="2"/>
  <c r="G23" i="2"/>
  <c r="H23" i="2" s="1"/>
  <c r="I23" i="2"/>
  <c r="G24" i="2"/>
  <c r="H24" i="2" s="1"/>
  <c r="I24" i="2"/>
  <c r="G25" i="2"/>
  <c r="H25" i="2" s="1"/>
  <c r="I25" i="2"/>
  <c r="G26" i="2"/>
  <c r="H26" i="2" s="1"/>
  <c r="I26" i="2"/>
  <c r="G27" i="2"/>
  <c r="H27" i="2" s="1"/>
  <c r="I27" i="2"/>
  <c r="G28" i="2"/>
  <c r="H28" i="2" s="1"/>
  <c r="I28" i="2"/>
  <c r="G29" i="2"/>
  <c r="H29" i="2" s="1"/>
  <c r="I29" i="2"/>
  <c r="G30" i="2"/>
  <c r="H30" i="2" s="1"/>
  <c r="I30" i="2"/>
  <c r="G31" i="2"/>
  <c r="H31" i="2" s="1"/>
  <c r="I31" i="2"/>
  <c r="G32" i="2"/>
  <c r="H32" i="2" s="1"/>
  <c r="I32" i="2"/>
  <c r="G33" i="2"/>
  <c r="H33" i="2" s="1"/>
  <c r="I33" i="2"/>
  <c r="G34" i="2"/>
  <c r="H34" i="2" s="1"/>
  <c r="I34" i="2"/>
  <c r="G35" i="2"/>
  <c r="H35" i="2" s="1"/>
  <c r="I35" i="2"/>
  <c r="G36" i="2"/>
  <c r="H36" i="2" s="1"/>
  <c r="I36" i="2"/>
  <c r="G37" i="2"/>
  <c r="H37" i="2" s="1"/>
  <c r="I37" i="2"/>
  <c r="G38" i="2"/>
  <c r="H38" i="2" s="1"/>
  <c r="I38" i="2"/>
  <c r="G39" i="2"/>
  <c r="H39" i="2" s="1"/>
  <c r="I39" i="2"/>
  <c r="G40" i="2"/>
  <c r="H40" i="2" s="1"/>
  <c r="I40" i="2"/>
  <c r="G41" i="2"/>
  <c r="H41" i="2" s="1"/>
  <c r="I41" i="2"/>
  <c r="G42" i="2"/>
  <c r="H42" i="2" s="1"/>
  <c r="I42" i="2"/>
  <c r="G43" i="2"/>
  <c r="H43" i="2" s="1"/>
  <c r="I43" i="2"/>
  <c r="G44" i="2"/>
  <c r="H44" i="2" s="1"/>
  <c r="I44" i="2"/>
  <c r="G45" i="2"/>
  <c r="H45" i="2" s="1"/>
  <c r="I45" i="2"/>
  <c r="G46" i="2"/>
  <c r="H46" i="2" s="1"/>
  <c r="I46" i="2"/>
  <c r="G47" i="2"/>
  <c r="H47" i="2" s="1"/>
  <c r="I47" i="2"/>
  <c r="G48" i="2"/>
  <c r="H48" i="2" s="1"/>
  <c r="I48" i="2"/>
  <c r="G49" i="2"/>
  <c r="H49" i="2" s="1"/>
  <c r="I49" i="2"/>
  <c r="G50" i="2"/>
  <c r="H50" i="2" s="1"/>
  <c r="I50" i="2"/>
  <c r="G51" i="2"/>
  <c r="H51" i="2" s="1"/>
  <c r="I51" i="2"/>
  <c r="G52" i="2"/>
  <c r="H52" i="2" s="1"/>
  <c r="I52" i="2"/>
  <c r="G53" i="2"/>
  <c r="H53" i="2" s="1"/>
  <c r="I53" i="2"/>
  <c r="G54" i="2"/>
  <c r="H54" i="2" s="1"/>
  <c r="I54" i="2"/>
  <c r="G55" i="2"/>
  <c r="H55" i="2" s="1"/>
  <c r="I55" i="2"/>
  <c r="G56" i="2"/>
  <c r="H56" i="2" s="1"/>
  <c r="I56" i="2"/>
  <c r="G57" i="2"/>
  <c r="H57" i="2" s="1"/>
  <c r="I57" i="2"/>
  <c r="G58" i="2"/>
  <c r="H58" i="2" s="1"/>
  <c r="I58" i="2"/>
  <c r="G59" i="2"/>
  <c r="H59" i="2" s="1"/>
  <c r="I59" i="2"/>
  <c r="G60" i="2"/>
  <c r="H60" i="2" s="1"/>
  <c r="I60" i="2"/>
  <c r="G61" i="2"/>
  <c r="H61" i="2" s="1"/>
  <c r="I61" i="2"/>
  <c r="I2" i="2"/>
  <c r="G2" i="2"/>
  <c r="H2" i="2" s="1"/>
  <c r="J6" i="2" l="1"/>
  <c r="K6" i="2" s="1"/>
  <c r="N6" i="2" s="1"/>
  <c r="J9" i="2"/>
  <c r="K9" i="2" s="1"/>
  <c r="N9" i="2" s="1"/>
  <c r="J8" i="2"/>
  <c r="K8" i="2" s="1"/>
  <c r="N8" i="2" s="1"/>
  <c r="J7" i="2"/>
  <c r="K7" i="2" s="1"/>
  <c r="N7" i="2" s="1"/>
  <c r="J51" i="2"/>
  <c r="K51" i="2" s="1"/>
  <c r="N51" i="2" s="1"/>
  <c r="J50" i="2"/>
  <c r="K50" i="2" s="1"/>
  <c r="N50" i="2" s="1"/>
  <c r="J4" i="2"/>
  <c r="K4" i="2" s="1"/>
  <c r="J39" i="2"/>
  <c r="K39" i="2" s="1"/>
  <c r="N39" i="2" s="1"/>
  <c r="J38" i="2"/>
  <c r="K38" i="2" s="1"/>
  <c r="N38" i="2" s="1"/>
  <c r="J5" i="2"/>
  <c r="K5" i="2" s="1"/>
  <c r="N5" i="2" s="1"/>
  <c r="J41" i="2"/>
  <c r="K41" i="2" s="1"/>
  <c r="N41" i="2" s="1"/>
  <c r="J40" i="2"/>
  <c r="K40" i="2" s="1"/>
  <c r="N40" i="2" s="1"/>
  <c r="J37" i="2"/>
  <c r="K37" i="2" s="1"/>
  <c r="N37" i="2" s="1"/>
  <c r="J36" i="2"/>
  <c r="K36" i="2" s="1"/>
  <c r="N36" i="2" s="1"/>
  <c r="J19" i="2"/>
  <c r="K19" i="2" s="1"/>
  <c r="N19" i="2" s="1"/>
  <c r="J18" i="2"/>
  <c r="K18" i="2" s="1"/>
  <c r="N18" i="2" s="1"/>
  <c r="J57" i="2"/>
  <c r="K57" i="2" s="1"/>
  <c r="N57" i="2" s="1"/>
  <c r="J25" i="2"/>
  <c r="K25" i="2" s="1"/>
  <c r="N25" i="2" s="1"/>
  <c r="J56" i="2"/>
  <c r="K56" i="2" s="1"/>
  <c r="N56" i="2" s="1"/>
  <c r="J24" i="2"/>
  <c r="K24" i="2" s="1"/>
  <c r="N24" i="2" s="1"/>
  <c r="J3" i="2"/>
  <c r="K3" i="2" s="1"/>
  <c r="N3" i="2" s="1"/>
  <c r="J34" i="2"/>
  <c r="K34" i="2" s="1"/>
  <c r="N34" i="2" s="1"/>
  <c r="J55" i="2"/>
  <c r="K55" i="2" s="1"/>
  <c r="N55" i="2" s="1"/>
  <c r="J23" i="2"/>
  <c r="K23" i="2" s="1"/>
  <c r="N23" i="2" s="1"/>
  <c r="J54" i="2"/>
  <c r="K54" i="2" s="1"/>
  <c r="N54" i="2" s="1"/>
  <c r="J22" i="2"/>
  <c r="K22" i="2" s="1"/>
  <c r="N22" i="2" s="1"/>
  <c r="J53" i="2"/>
  <c r="K53" i="2" s="1"/>
  <c r="N53" i="2" s="1"/>
  <c r="J21" i="2"/>
  <c r="K21" i="2" s="1"/>
  <c r="N21" i="2" s="1"/>
  <c r="J35" i="2"/>
  <c r="K35" i="2" s="1"/>
  <c r="N35" i="2" s="1"/>
  <c r="J52" i="2"/>
  <c r="K52" i="2" s="1"/>
  <c r="N52" i="2" s="1"/>
  <c r="J20" i="2"/>
  <c r="K20" i="2" s="1"/>
  <c r="N20" i="2" s="1"/>
  <c r="J33" i="2"/>
  <c r="K33" i="2" s="1"/>
  <c r="N33" i="2" s="1"/>
  <c r="J48" i="2"/>
  <c r="K48" i="2" s="1"/>
  <c r="N48" i="2" s="1"/>
  <c r="J32" i="2"/>
  <c r="K32" i="2" s="1"/>
  <c r="N32" i="2" s="1"/>
  <c r="J16" i="2"/>
  <c r="K16" i="2" s="1"/>
  <c r="N16" i="2" s="1"/>
  <c r="N10" i="2"/>
  <c r="J2" i="2"/>
  <c r="K2" i="2" s="1"/>
  <c r="N2" i="2" s="1"/>
  <c r="J46" i="2"/>
  <c r="K46" i="2" s="1"/>
  <c r="N46" i="2" s="1"/>
  <c r="J30" i="2"/>
  <c r="K30" i="2" s="1"/>
  <c r="N30" i="2" s="1"/>
  <c r="J14" i="2"/>
  <c r="K14" i="2" s="1"/>
  <c r="N14" i="2" s="1"/>
  <c r="J61" i="2"/>
  <c r="K61" i="2" s="1"/>
  <c r="N61" i="2" s="1"/>
  <c r="J45" i="2"/>
  <c r="K45" i="2" s="1"/>
  <c r="N45" i="2" s="1"/>
  <c r="J29" i="2"/>
  <c r="K29" i="2" s="1"/>
  <c r="N29" i="2" s="1"/>
  <c r="J13" i="2"/>
  <c r="K13" i="2" s="1"/>
  <c r="N13" i="2"/>
  <c r="J47" i="2"/>
  <c r="K47" i="2" s="1"/>
  <c r="N47" i="2" s="1"/>
  <c r="J15" i="2"/>
  <c r="K15" i="2" s="1"/>
  <c r="N15" i="2" s="1"/>
  <c r="J60" i="2"/>
  <c r="K60" i="2" s="1"/>
  <c r="N60" i="2" s="1"/>
  <c r="J44" i="2"/>
  <c r="K44" i="2" s="1"/>
  <c r="N44" i="2" s="1"/>
  <c r="J28" i="2"/>
  <c r="K28" i="2" s="1"/>
  <c r="N28" i="2" s="1"/>
  <c r="J12" i="2"/>
  <c r="K12" i="2" s="1"/>
  <c r="N12" i="2" s="1"/>
  <c r="J49" i="2"/>
  <c r="K49" i="2" s="1"/>
  <c r="N49" i="2" s="1"/>
  <c r="J31" i="2"/>
  <c r="K31" i="2" s="1"/>
  <c r="N31" i="2" s="1"/>
  <c r="J59" i="2"/>
  <c r="K59" i="2" s="1"/>
  <c r="N59" i="2" s="1"/>
  <c r="J43" i="2"/>
  <c r="K43" i="2" s="1"/>
  <c r="N43" i="2" s="1"/>
  <c r="J27" i="2"/>
  <c r="K27" i="2" s="1"/>
  <c r="N27" i="2" s="1"/>
  <c r="J11" i="2"/>
  <c r="K11" i="2" s="1"/>
  <c r="N11" i="2" s="1"/>
  <c r="N4" i="2"/>
  <c r="J17" i="2"/>
  <c r="K17" i="2" s="1"/>
  <c r="N17" i="2" s="1"/>
  <c r="J58" i="2"/>
  <c r="K58" i="2" s="1"/>
  <c r="N58" i="2" s="1"/>
  <c r="J42" i="2"/>
  <c r="K42" i="2" s="1"/>
  <c r="N42" i="2" s="1"/>
  <c r="J26" i="2"/>
  <c r="K26" i="2" s="1"/>
  <c r="N26" i="2" s="1"/>
  <c r="N62" i="2" l="1"/>
</calcChain>
</file>

<file path=xl/sharedStrings.xml><?xml version="1.0" encoding="utf-8"?>
<sst xmlns="http://schemas.openxmlformats.org/spreadsheetml/2006/main" count="196" uniqueCount="194">
  <si>
    <t>Martin</t>
  </si>
  <si>
    <t>Sophie</t>
  </si>
  <si>
    <t>14/03/2015</t>
  </si>
  <si>
    <t>Chen</t>
  </si>
  <si>
    <t>Lucas</t>
  </si>
  <si>
    <t>21/06/2023</t>
  </si>
  <si>
    <t>Dubois</t>
  </si>
  <si>
    <t>Emma</t>
  </si>
  <si>
    <t>04/06/2011</t>
  </si>
  <si>
    <t>N'Diaye</t>
  </si>
  <si>
    <t>Omar</t>
  </si>
  <si>
    <t>28/02/2020</t>
  </si>
  <si>
    <t>Rodriguez</t>
  </si>
  <si>
    <t>Carmen</t>
  </si>
  <si>
    <t>02/09/2024</t>
  </si>
  <si>
    <t>Lefebvre</t>
  </si>
  <si>
    <t>Thomas</t>
  </si>
  <si>
    <t>12/06/2022</t>
  </si>
  <si>
    <t>Bouvier</t>
  </si>
  <si>
    <t>Marie</t>
  </si>
  <si>
    <t>01/08/2010</t>
  </si>
  <si>
    <t>El Khoury</t>
  </si>
  <si>
    <t>Karim</t>
  </si>
  <si>
    <t>20/10/2018</t>
  </si>
  <si>
    <t>Cohen</t>
  </si>
  <si>
    <t>Sarah</t>
  </si>
  <si>
    <t>02/03/2016</t>
  </si>
  <si>
    <t>Nguyen</t>
  </si>
  <si>
    <t>Antoine</t>
  </si>
  <si>
    <t>28/01/2020</t>
  </si>
  <si>
    <t>Petit</t>
  </si>
  <si>
    <t>Julie</t>
  </si>
  <si>
    <t>16/04/2019</t>
  </si>
  <si>
    <t>Silva</t>
  </si>
  <si>
    <t>Marco</t>
  </si>
  <si>
    <t>20/02/2016</t>
  </si>
  <si>
    <t>Leclerc</t>
  </si>
  <si>
    <t>Pierre</t>
  </si>
  <si>
    <t>24/09/2013</t>
  </si>
  <si>
    <t>Koné</t>
  </si>
  <si>
    <t>Aminata</t>
  </si>
  <si>
    <t>07/09/2021</t>
  </si>
  <si>
    <t>Dupont</t>
  </si>
  <si>
    <t>Claire</t>
  </si>
  <si>
    <t>24/10/2024</t>
  </si>
  <si>
    <t>Wu</t>
  </si>
  <si>
    <t>François</t>
  </si>
  <si>
    <t>07/11/2018</t>
  </si>
  <si>
    <t>Ben Ahmed</t>
  </si>
  <si>
    <t>Yasmine</t>
  </si>
  <si>
    <t>16/10/2024</t>
  </si>
  <si>
    <t>Rousseau</t>
  </si>
  <si>
    <t>Alexandre</t>
  </si>
  <si>
    <t>04/10/2015</t>
  </si>
  <si>
    <t>Moreau</t>
  </si>
  <si>
    <t>Camille</t>
  </si>
  <si>
    <t>11/04/2010</t>
  </si>
  <si>
    <t>Diallo</t>
  </si>
  <si>
    <t>Ibrahim</t>
  </si>
  <si>
    <t>20/07/2015</t>
  </si>
  <si>
    <t>Sanchez</t>
  </si>
  <si>
    <t>Maria</t>
  </si>
  <si>
    <t>15/05/2017</t>
  </si>
  <si>
    <t>Lee</t>
  </si>
  <si>
    <t>Jean</t>
  </si>
  <si>
    <t>03/12/2019</t>
  </si>
  <si>
    <t>Bernard</t>
  </si>
  <si>
    <t>Aurélie</t>
  </si>
  <si>
    <t>09/08/2022</t>
  </si>
  <si>
    <t>Santos</t>
  </si>
  <si>
    <t>Miguel</t>
  </si>
  <si>
    <t>30/03/2016</t>
  </si>
  <si>
    <t>Leroy</t>
  </si>
  <si>
    <t>Mathilde</t>
  </si>
  <si>
    <t>22/11/2018</t>
  </si>
  <si>
    <t>Muller</t>
  </si>
  <si>
    <t>Vincent</t>
  </si>
  <si>
    <t>14/01/2020</t>
  </si>
  <si>
    <t>Roux</t>
  </si>
  <si>
    <t>Charlotte</t>
  </si>
  <si>
    <t>08/06/2017</t>
  </si>
  <si>
    <t>Girard</t>
  </si>
  <si>
    <t>Nicolas</t>
  </si>
  <si>
    <t>19/09/2023</t>
  </si>
  <si>
    <t>Li</t>
  </si>
  <si>
    <t>Anna</t>
  </si>
  <si>
    <t>25/04/2015</t>
  </si>
  <si>
    <t>Fernandez</t>
  </si>
  <si>
    <t>Carlos</t>
  </si>
  <si>
    <t>17/02/2019</t>
  </si>
  <si>
    <t>Schmitt</t>
  </si>
  <si>
    <t>Élise</t>
  </si>
  <si>
    <t>11/07/2021</t>
  </si>
  <si>
    <t>Dumas</t>
  </si>
  <si>
    <t>Laurent</t>
  </si>
  <si>
    <t>03/10/2016</t>
  </si>
  <si>
    <t>Lebrun</t>
  </si>
  <si>
    <t>Audrey</t>
  </si>
  <si>
    <t>28/05/2018</t>
  </si>
  <si>
    <t>Faure</t>
  </si>
  <si>
    <t>Baptiste</t>
  </si>
  <si>
    <t>13/12/2020</t>
  </si>
  <si>
    <t>Kim</t>
  </si>
  <si>
    <t>Philippe</t>
  </si>
  <si>
    <t>06/03/2017</t>
  </si>
  <si>
    <t>Lemaire</t>
  </si>
  <si>
    <t>Céline</t>
  </si>
  <si>
    <t>29/08/2019</t>
  </si>
  <si>
    <t>Benali</t>
  </si>
  <si>
    <t>Mehdi</t>
  </si>
  <si>
    <t>21/01/2016</t>
  </si>
  <si>
    <t>Garcia</t>
  </si>
  <si>
    <t>Elena</t>
  </si>
  <si>
    <t>14/06/2018</t>
  </si>
  <si>
    <t>Lambert</t>
  </si>
  <si>
    <t>Julien</t>
  </si>
  <si>
    <t>07/11/2020</t>
  </si>
  <si>
    <t>Patel</t>
  </si>
  <si>
    <t>Priya</t>
  </si>
  <si>
    <t>02/04/2017</t>
  </si>
  <si>
    <t>Fischer</t>
  </si>
  <si>
    <t>Léa</t>
  </si>
  <si>
    <t>25/09/2019</t>
  </si>
  <si>
    <t>Arthur</t>
  </si>
  <si>
    <t>18/02/2016</t>
  </si>
  <si>
    <t>Morel</t>
  </si>
  <si>
    <t>Manon</t>
  </si>
  <si>
    <t>10/07/2018</t>
  </si>
  <si>
    <t>Da Costa</t>
  </si>
  <si>
    <t>João</t>
  </si>
  <si>
    <t>03/12/2020</t>
  </si>
  <si>
    <t>Perret</t>
  </si>
  <si>
    <t>Margaux</t>
  </si>
  <si>
    <t>26/05/2017</t>
  </si>
  <si>
    <t>Blanc</t>
  </si>
  <si>
    <t>Romain</t>
  </si>
  <si>
    <t>19/10/2019</t>
  </si>
  <si>
    <t>König</t>
  </si>
  <si>
    <t>Éric</t>
  </si>
  <si>
    <t>12/03/2016</t>
  </si>
  <si>
    <t>Torres</t>
  </si>
  <si>
    <t>Isabella</t>
  </si>
  <si>
    <t>05/08/2018</t>
  </si>
  <si>
    <t>Lopez</t>
  </si>
  <si>
    <t>Antonio</t>
  </si>
  <si>
    <t>28/01/2021</t>
  </si>
  <si>
    <t>Dumont</t>
  </si>
  <si>
    <t>Caroline</t>
  </si>
  <si>
    <t>21/06/2017</t>
  </si>
  <si>
    <t>Legrand</t>
  </si>
  <si>
    <t>Maxime</t>
  </si>
  <si>
    <t>14/11/2019</t>
  </si>
  <si>
    <t>Vasseur</t>
  </si>
  <si>
    <t>Pauline</t>
  </si>
  <si>
    <t>07/04/2016</t>
  </si>
  <si>
    <t>Mercier</t>
  </si>
  <si>
    <t>Hugo</t>
  </si>
  <si>
    <t>30/09/2018</t>
  </si>
  <si>
    <t>Robert</t>
  </si>
  <si>
    <t>Anaïs</t>
  </si>
  <si>
    <t>23/02/2021</t>
  </si>
  <si>
    <t>Michel</t>
  </si>
  <si>
    <t>Guillaume</t>
  </si>
  <si>
    <t>16/07/2017</t>
  </si>
  <si>
    <t>Zhang</t>
  </si>
  <si>
    <t>Léo</t>
  </si>
  <si>
    <t>09/12/2019</t>
  </si>
  <si>
    <t>Durand</t>
  </si>
  <si>
    <t>Valentine</t>
  </si>
  <si>
    <t>02/05/2016</t>
  </si>
  <si>
    <t>Lefevre</t>
  </si>
  <si>
    <t>Nathan</t>
  </si>
  <si>
    <t>25/10/2018</t>
  </si>
  <si>
    <t>Simon</t>
  </si>
  <si>
    <t>Julia</t>
  </si>
  <si>
    <t>18/03/2021</t>
  </si>
  <si>
    <t>David</t>
  </si>
  <si>
    <t>Adrien</t>
  </si>
  <si>
    <t>11/08/2017</t>
  </si>
  <si>
    <t>Nom</t>
  </si>
  <si>
    <t>Prénom</t>
  </si>
  <si>
    <t>CA</t>
  </si>
  <si>
    <t>Retards</t>
  </si>
  <si>
    <t>Date d'entrée 
dans l'entreprise</t>
  </si>
  <si>
    <t>Années passsées 
dans l'entreprise</t>
  </si>
  <si>
    <t>Salaire fixe</t>
  </si>
  <si>
    <t>Prime de 
fidélisation</t>
  </si>
  <si>
    <t>Comission</t>
  </si>
  <si>
    <t>% des ventes totales
réalisées par le vendeur</t>
  </si>
  <si>
    <t>Prime 
compétitivité</t>
  </si>
  <si>
    <t>Assiduité</t>
  </si>
  <si>
    <t>Salaire total</t>
  </si>
  <si>
    <t>CA TOTAL :</t>
  </si>
  <si>
    <t>SALAIRE 
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</si>
</sst>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0" xfId="0" applyFill="1"/>
    <xf numFmtId="0" fontId="0" fillId="0" borderId="0" xfId="0" applyFill="1"/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2" fontId="3" fillId="7" borderId="4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2" fontId="0" fillId="8" borderId="1" xfId="0" applyNumberFormat="1" applyFill="1" applyBorder="1" applyAlignment="1">
      <alignment horizontal="center" vertical="center"/>
    </xf>
    <xf numFmtId="172" fontId="0" fillId="8" borderId="1" xfId="0" applyNumberForma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/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Vert jaune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0EF7-73AA-4390-B3F2-37AFA8DC84B6}">
  <dimension ref="A1:O62"/>
  <sheetViews>
    <sheetView tabSelected="1" workbookViewId="0">
      <selection activeCell="I8" sqref="I8"/>
    </sheetView>
  </sheetViews>
  <sheetFormatPr baseColWidth="10" defaultRowHeight="14.4" x14ac:dyDescent="0.3"/>
  <cols>
    <col min="3" max="3" width="14.88671875" style="12" bestFit="1" customWidth="1"/>
    <col min="4" max="5" width="11.5546875" style="12"/>
    <col min="7" max="7" width="15" style="5" bestFit="1" customWidth="1"/>
    <col min="8" max="8" width="11.5546875" style="5"/>
    <col min="9" max="9" width="11.5546875" style="32"/>
    <col min="10" max="10" width="20.6640625" style="32" bestFit="1" customWidth="1"/>
    <col min="11" max="11" width="12.33203125" style="32" bestFit="1" customWidth="1"/>
    <col min="12" max="12" width="13" style="11" bestFit="1" customWidth="1"/>
    <col min="13" max="13" width="11.5546875" style="11"/>
    <col min="14" max="14" width="12.88671875" bestFit="1" customWidth="1"/>
  </cols>
  <sheetData>
    <row r="1" spans="1:15" ht="33" customHeight="1" x14ac:dyDescent="0.3">
      <c r="A1" s="2" t="s">
        <v>179</v>
      </c>
      <c r="B1" s="2" t="s">
        <v>180</v>
      </c>
      <c r="C1" s="13" t="s">
        <v>183</v>
      </c>
      <c r="D1" s="6" t="s">
        <v>181</v>
      </c>
      <c r="E1" s="8" t="s">
        <v>182</v>
      </c>
      <c r="F1" s="2" t="s">
        <v>185</v>
      </c>
      <c r="G1" s="4" t="s">
        <v>184</v>
      </c>
      <c r="H1" s="4" t="s">
        <v>186</v>
      </c>
      <c r="I1" s="26" t="s">
        <v>187</v>
      </c>
      <c r="J1" s="27" t="s">
        <v>188</v>
      </c>
      <c r="K1" s="27" t="s">
        <v>189</v>
      </c>
      <c r="L1" s="10" t="s">
        <v>182</v>
      </c>
      <c r="M1" s="10" t="s">
        <v>190</v>
      </c>
      <c r="N1" s="2" t="s">
        <v>191</v>
      </c>
      <c r="O1" s="1"/>
    </row>
    <row r="2" spans="1:15" x14ac:dyDescent="0.3">
      <c r="A2" s="3" t="s">
        <v>0</v>
      </c>
      <c r="B2" s="3" t="s">
        <v>1</v>
      </c>
      <c r="C2" s="14" t="s">
        <v>2</v>
      </c>
      <c r="D2" s="7">
        <v>28456</v>
      </c>
      <c r="E2" s="9">
        <v>0</v>
      </c>
      <c r="F2" s="3">
        <v>800</v>
      </c>
      <c r="G2" s="23">
        <f ca="1">DATEDIF(C2,TODAY(),"y")</f>
        <v>9</v>
      </c>
      <c r="H2" s="24">
        <f ca="1">G2*20</f>
        <v>180</v>
      </c>
      <c r="I2" s="28">
        <f>1.5%*D2</f>
        <v>426.84</v>
      </c>
      <c r="J2" s="29">
        <f>D2/$D$62</f>
        <v>2.1408833024494214E-2</v>
      </c>
      <c r="K2" s="30">
        <f>J2*10000</f>
        <v>214.08833024494214</v>
      </c>
      <c r="L2" s="33" t="str">
        <f>IF(E2&gt;7,"Trop de retards","")</f>
        <v/>
      </c>
      <c r="M2" s="33">
        <f>IF(AND(D2&gt;5000,E2&lt;7),50,0)</f>
        <v>50</v>
      </c>
      <c r="N2" s="20">
        <f ca="1">F2+H2+I2+K2+M2</f>
        <v>1670.9283302449421</v>
      </c>
    </row>
    <row r="3" spans="1:15" x14ac:dyDescent="0.3">
      <c r="A3" s="3" t="s">
        <v>3</v>
      </c>
      <c r="B3" s="3" t="s">
        <v>4</v>
      </c>
      <c r="C3" s="14" t="s">
        <v>5</v>
      </c>
      <c r="D3" s="7">
        <v>5893</v>
      </c>
      <c r="E3" s="9">
        <v>8</v>
      </c>
      <c r="F3" s="3">
        <v>800</v>
      </c>
      <c r="G3" s="23">
        <f t="shared" ref="G3:G61" ca="1" si="0">DATEDIF(C3,TODAY(),"y")</f>
        <v>1</v>
      </c>
      <c r="H3" s="24">
        <f t="shared" ref="H3:H61" ca="1" si="1">G3*20</f>
        <v>20</v>
      </c>
      <c r="I3" s="28">
        <f t="shared" ref="I3:I61" si="2">1.5%*D3</f>
        <v>88.394999999999996</v>
      </c>
      <c r="J3" s="29">
        <f t="shared" ref="J3:J61" si="3">D3/$D$62</f>
        <v>4.4335905613348469E-3</v>
      </c>
      <c r="K3" s="30">
        <f t="shared" ref="K3:K61" si="4">J3*10000</f>
        <v>44.335905613348473</v>
      </c>
      <c r="L3" s="33" t="str">
        <f t="shared" ref="L3:L61" si="5">IF(E3&gt;7,"Trop de retards","")</f>
        <v>Trop de retards</v>
      </c>
      <c r="M3" s="33">
        <f t="shared" ref="M3:M61" si="6">IF(AND(D3&gt;5000,E3&lt;7),50,0)</f>
        <v>0</v>
      </c>
      <c r="N3" s="20">
        <f t="shared" ref="N3:N61" ca="1" si="7">F3+H3+I3+K3+M3</f>
        <v>952.73090561334845</v>
      </c>
    </row>
    <row r="4" spans="1:15" x14ac:dyDescent="0.3">
      <c r="A4" s="3" t="s">
        <v>6</v>
      </c>
      <c r="B4" s="3" t="s">
        <v>7</v>
      </c>
      <c r="C4" s="14" t="s">
        <v>8</v>
      </c>
      <c r="D4" s="7">
        <v>3525</v>
      </c>
      <c r="E4" s="9">
        <v>6</v>
      </c>
      <c r="F4" s="3">
        <v>800</v>
      </c>
      <c r="G4" s="23">
        <f t="shared" ca="1" si="0"/>
        <v>13</v>
      </c>
      <c r="H4" s="24">
        <f t="shared" ca="1" si="1"/>
        <v>260</v>
      </c>
      <c r="I4" s="28">
        <f t="shared" si="2"/>
        <v>52.875</v>
      </c>
      <c r="J4" s="29">
        <f t="shared" si="3"/>
        <v>2.652028971441598E-3</v>
      </c>
      <c r="K4" s="30">
        <f t="shared" si="4"/>
        <v>26.520289714415981</v>
      </c>
      <c r="L4" s="33" t="str">
        <f t="shared" si="5"/>
        <v/>
      </c>
      <c r="M4" s="33">
        <f t="shared" si="6"/>
        <v>0</v>
      </c>
      <c r="N4" s="20">
        <f t="shared" ca="1" si="7"/>
        <v>1139.3952897144159</v>
      </c>
    </row>
    <row r="5" spans="1:15" x14ac:dyDescent="0.3">
      <c r="A5" s="3" t="s">
        <v>9</v>
      </c>
      <c r="B5" s="3" t="s">
        <v>10</v>
      </c>
      <c r="C5" s="14" t="s">
        <v>11</v>
      </c>
      <c r="D5" s="7">
        <v>19391</v>
      </c>
      <c r="E5" s="9">
        <v>6</v>
      </c>
      <c r="F5" s="3">
        <v>800</v>
      </c>
      <c r="G5" s="23">
        <f t="shared" ca="1" si="0"/>
        <v>4</v>
      </c>
      <c r="H5" s="24">
        <f t="shared" ca="1" si="1"/>
        <v>80</v>
      </c>
      <c r="I5" s="28">
        <f t="shared" si="2"/>
        <v>290.86500000000001</v>
      </c>
      <c r="J5" s="29">
        <f t="shared" si="3"/>
        <v>1.4588792563184121E-2</v>
      </c>
      <c r="K5" s="30">
        <f t="shared" si="4"/>
        <v>145.8879256318412</v>
      </c>
      <c r="L5" s="33" t="str">
        <f t="shared" si="5"/>
        <v/>
      </c>
      <c r="M5" s="33">
        <f t="shared" si="6"/>
        <v>50</v>
      </c>
      <c r="N5" s="20">
        <f t="shared" ca="1" si="7"/>
        <v>1366.7529256318412</v>
      </c>
    </row>
    <row r="6" spans="1:15" x14ac:dyDescent="0.3">
      <c r="A6" s="3" t="s">
        <v>12</v>
      </c>
      <c r="B6" s="3" t="s">
        <v>13</v>
      </c>
      <c r="C6" s="14" t="s">
        <v>14</v>
      </c>
      <c r="D6" s="7">
        <v>16193</v>
      </c>
      <c r="E6" s="9">
        <v>7</v>
      </c>
      <c r="F6" s="3">
        <v>800</v>
      </c>
      <c r="G6" s="23">
        <f t="shared" ca="1" si="0"/>
        <v>0</v>
      </c>
      <c r="H6" s="24">
        <f t="shared" ca="1" si="1"/>
        <v>0</v>
      </c>
      <c r="I6" s="28">
        <f t="shared" si="2"/>
        <v>242.89499999999998</v>
      </c>
      <c r="J6" s="29">
        <f t="shared" si="3"/>
        <v>1.2182781598454977E-2</v>
      </c>
      <c r="K6" s="30">
        <f t="shared" si="4"/>
        <v>121.82781598454977</v>
      </c>
      <c r="L6" s="33" t="str">
        <f t="shared" si="5"/>
        <v/>
      </c>
      <c r="M6" s="33">
        <f t="shared" si="6"/>
        <v>0</v>
      </c>
      <c r="N6" s="20">
        <f t="shared" ca="1" si="7"/>
        <v>1164.7228159845497</v>
      </c>
    </row>
    <row r="7" spans="1:15" x14ac:dyDescent="0.3">
      <c r="A7" s="3" t="s">
        <v>15</v>
      </c>
      <c r="B7" s="3" t="s">
        <v>16</v>
      </c>
      <c r="C7" s="14" t="s">
        <v>17</v>
      </c>
      <c r="D7" s="7">
        <v>8659</v>
      </c>
      <c r="E7" s="9">
        <v>10</v>
      </c>
      <c r="F7" s="3">
        <v>800</v>
      </c>
      <c r="G7" s="23">
        <f t="shared" ca="1" si="0"/>
        <v>2</v>
      </c>
      <c r="H7" s="24">
        <f t="shared" ca="1" si="1"/>
        <v>40</v>
      </c>
      <c r="I7" s="28">
        <f t="shared" si="2"/>
        <v>129.88499999999999</v>
      </c>
      <c r="J7" s="29">
        <f t="shared" si="3"/>
        <v>6.5145869116915731E-3</v>
      </c>
      <c r="K7" s="30">
        <f t="shared" si="4"/>
        <v>65.145869116915733</v>
      </c>
      <c r="L7" s="33" t="str">
        <f t="shared" si="5"/>
        <v>Trop de retards</v>
      </c>
      <c r="M7" s="33">
        <f t="shared" si="6"/>
        <v>0</v>
      </c>
      <c r="N7" s="20">
        <f t="shared" ca="1" si="7"/>
        <v>1035.0308691169157</v>
      </c>
    </row>
    <row r="8" spans="1:15" x14ac:dyDescent="0.3">
      <c r="A8" s="3" t="s">
        <v>18</v>
      </c>
      <c r="B8" s="3" t="s">
        <v>19</v>
      </c>
      <c r="C8" s="14" t="s">
        <v>20</v>
      </c>
      <c r="D8" s="7">
        <v>31813</v>
      </c>
      <c r="E8" s="9">
        <v>5</v>
      </c>
      <c r="F8" s="3">
        <v>800</v>
      </c>
      <c r="G8" s="23">
        <f t="shared" ca="1" si="0"/>
        <v>14</v>
      </c>
      <c r="H8" s="24">
        <f t="shared" ca="1" si="1"/>
        <v>280</v>
      </c>
      <c r="I8" s="28">
        <f t="shared" si="2"/>
        <v>477.19499999999999</v>
      </c>
      <c r="J8" s="29">
        <f t="shared" si="3"/>
        <v>2.3934467423679873E-2</v>
      </c>
      <c r="K8" s="30">
        <f t="shared" si="4"/>
        <v>239.34467423679874</v>
      </c>
      <c r="L8" s="33" t="str">
        <f t="shared" si="5"/>
        <v/>
      </c>
      <c r="M8" s="33">
        <f t="shared" si="6"/>
        <v>50</v>
      </c>
      <c r="N8" s="20">
        <f t="shared" ca="1" si="7"/>
        <v>1846.5396742367986</v>
      </c>
    </row>
    <row r="9" spans="1:15" x14ac:dyDescent="0.3">
      <c r="A9" s="3" t="s">
        <v>21</v>
      </c>
      <c r="B9" s="3" t="s">
        <v>22</v>
      </c>
      <c r="C9" s="14" t="s">
        <v>23</v>
      </c>
      <c r="D9" s="7">
        <v>12914</v>
      </c>
      <c r="E9" s="9">
        <v>7</v>
      </c>
      <c r="F9" s="3">
        <v>800</v>
      </c>
      <c r="G9" s="23">
        <f t="shared" ca="1" si="0"/>
        <v>6</v>
      </c>
      <c r="H9" s="24">
        <f t="shared" ca="1" si="1"/>
        <v>120</v>
      </c>
      <c r="I9" s="28">
        <f t="shared" si="2"/>
        <v>193.70999999999998</v>
      </c>
      <c r="J9" s="29">
        <f t="shared" si="3"/>
        <v>9.7158303935310046E-3</v>
      </c>
      <c r="K9" s="30">
        <f t="shared" si="4"/>
        <v>97.158303935310045</v>
      </c>
      <c r="L9" s="33" t="str">
        <f t="shared" si="5"/>
        <v/>
      </c>
      <c r="M9" s="33">
        <f t="shared" si="6"/>
        <v>0</v>
      </c>
      <c r="N9" s="20">
        <f t="shared" ca="1" si="7"/>
        <v>1210.86830393531</v>
      </c>
    </row>
    <row r="10" spans="1:15" x14ac:dyDescent="0.3">
      <c r="A10" s="3" t="s">
        <v>24</v>
      </c>
      <c r="B10" s="3" t="s">
        <v>25</v>
      </c>
      <c r="C10" s="14" t="s">
        <v>26</v>
      </c>
      <c r="D10" s="7">
        <v>25317</v>
      </c>
      <c r="E10" s="9">
        <v>4</v>
      </c>
      <c r="F10" s="3">
        <v>800</v>
      </c>
      <c r="G10" s="23">
        <f t="shared" ca="1" si="0"/>
        <v>8</v>
      </c>
      <c r="H10" s="24">
        <f t="shared" ca="1" si="1"/>
        <v>160</v>
      </c>
      <c r="I10" s="28">
        <f t="shared" si="2"/>
        <v>379.755</v>
      </c>
      <c r="J10" s="29">
        <f t="shared" si="3"/>
        <v>1.9047210629783526E-2</v>
      </c>
      <c r="K10" s="30">
        <f t="shared" si="4"/>
        <v>190.47210629783527</v>
      </c>
      <c r="L10" s="33" t="str">
        <f t="shared" si="5"/>
        <v/>
      </c>
      <c r="M10" s="33">
        <f t="shared" si="6"/>
        <v>50</v>
      </c>
      <c r="N10" s="20">
        <f t="shared" ca="1" si="7"/>
        <v>1580.2271062978355</v>
      </c>
    </row>
    <row r="11" spans="1:15" x14ac:dyDescent="0.3">
      <c r="A11" s="3" t="s">
        <v>27</v>
      </c>
      <c r="B11" s="3" t="s">
        <v>28</v>
      </c>
      <c r="C11" s="14" t="s">
        <v>29</v>
      </c>
      <c r="D11" s="7">
        <v>22426</v>
      </c>
      <c r="E11" s="9">
        <v>4</v>
      </c>
      <c r="F11" s="3">
        <v>800</v>
      </c>
      <c r="G11" s="23">
        <f t="shared" ca="1" si="0"/>
        <v>4</v>
      </c>
      <c r="H11" s="24">
        <f t="shared" ca="1" si="1"/>
        <v>80</v>
      </c>
      <c r="I11" s="28">
        <f t="shared" si="2"/>
        <v>336.39</v>
      </c>
      <c r="J11" s="29">
        <f t="shared" si="3"/>
        <v>1.6872170698879228E-2</v>
      </c>
      <c r="K11" s="30">
        <f t="shared" si="4"/>
        <v>168.72170698879228</v>
      </c>
      <c r="L11" s="33" t="str">
        <f t="shared" si="5"/>
        <v/>
      </c>
      <c r="M11" s="33">
        <f t="shared" si="6"/>
        <v>50</v>
      </c>
      <c r="N11" s="20">
        <f t="shared" ca="1" si="7"/>
        <v>1435.1117069887921</v>
      </c>
    </row>
    <row r="12" spans="1:15" x14ac:dyDescent="0.3">
      <c r="A12" s="3" t="s">
        <v>30</v>
      </c>
      <c r="B12" s="3" t="s">
        <v>31</v>
      </c>
      <c r="C12" s="14" t="s">
        <v>32</v>
      </c>
      <c r="D12" s="7">
        <v>33859</v>
      </c>
      <c r="E12" s="9">
        <v>4</v>
      </c>
      <c r="F12" s="3">
        <v>800</v>
      </c>
      <c r="G12" s="23">
        <f t="shared" ca="1" si="0"/>
        <v>5</v>
      </c>
      <c r="H12" s="24">
        <f t="shared" ca="1" si="1"/>
        <v>100</v>
      </c>
      <c r="I12" s="28">
        <f t="shared" si="2"/>
        <v>507.88499999999999</v>
      </c>
      <c r="J12" s="29">
        <f t="shared" si="3"/>
        <v>2.5473772750082571E-2</v>
      </c>
      <c r="K12" s="30">
        <f t="shared" si="4"/>
        <v>254.73772750082571</v>
      </c>
      <c r="L12" s="33" t="str">
        <f t="shared" si="5"/>
        <v/>
      </c>
      <c r="M12" s="33">
        <f t="shared" si="6"/>
        <v>50</v>
      </c>
      <c r="N12" s="20">
        <f t="shared" ca="1" si="7"/>
        <v>1712.6227275008257</v>
      </c>
    </row>
    <row r="13" spans="1:15" x14ac:dyDescent="0.3">
      <c r="A13" s="3" t="s">
        <v>33</v>
      </c>
      <c r="B13" s="3" t="s">
        <v>34</v>
      </c>
      <c r="C13" s="14" t="s">
        <v>35</v>
      </c>
      <c r="D13" s="7">
        <v>29545</v>
      </c>
      <c r="E13" s="9">
        <v>7</v>
      </c>
      <c r="F13" s="3">
        <v>800</v>
      </c>
      <c r="G13" s="23">
        <f t="shared" ca="1" si="0"/>
        <v>8</v>
      </c>
      <c r="H13" s="24">
        <f t="shared" ca="1" si="1"/>
        <v>160</v>
      </c>
      <c r="I13" s="28">
        <f t="shared" si="2"/>
        <v>443.17500000000001</v>
      </c>
      <c r="J13" s="29">
        <f t="shared" si="3"/>
        <v>2.2228140698224683E-2</v>
      </c>
      <c r="K13" s="30">
        <f t="shared" si="4"/>
        <v>222.28140698224684</v>
      </c>
      <c r="L13" s="33" t="str">
        <f t="shared" si="5"/>
        <v/>
      </c>
      <c r="M13" s="33">
        <f t="shared" si="6"/>
        <v>0</v>
      </c>
      <c r="N13" s="20">
        <f t="shared" ca="1" si="7"/>
        <v>1625.4564069822468</v>
      </c>
    </row>
    <row r="14" spans="1:15" x14ac:dyDescent="0.3">
      <c r="A14" s="3" t="s">
        <v>36</v>
      </c>
      <c r="B14" s="3" t="s">
        <v>37</v>
      </c>
      <c r="C14" s="14" t="s">
        <v>38</v>
      </c>
      <c r="D14" s="7">
        <v>27658</v>
      </c>
      <c r="E14" s="9">
        <v>9</v>
      </c>
      <c r="F14" s="3">
        <v>800</v>
      </c>
      <c r="G14" s="23">
        <f t="shared" ca="1" si="0"/>
        <v>11</v>
      </c>
      <c r="H14" s="24">
        <f t="shared" ca="1" si="1"/>
        <v>220</v>
      </c>
      <c r="I14" s="28">
        <f t="shared" si="2"/>
        <v>414.87</v>
      </c>
      <c r="J14" s="29">
        <f t="shared" si="3"/>
        <v>2.0808458806278501E-2</v>
      </c>
      <c r="K14" s="30">
        <f t="shared" si="4"/>
        <v>208.084588062785</v>
      </c>
      <c r="L14" s="33" t="str">
        <f t="shared" si="5"/>
        <v>Trop de retards</v>
      </c>
      <c r="M14" s="33">
        <f t="shared" si="6"/>
        <v>0</v>
      </c>
      <c r="N14" s="20">
        <f t="shared" ca="1" si="7"/>
        <v>1642.954588062785</v>
      </c>
    </row>
    <row r="15" spans="1:15" x14ac:dyDescent="0.3">
      <c r="A15" s="3" t="s">
        <v>39</v>
      </c>
      <c r="B15" s="3" t="s">
        <v>40</v>
      </c>
      <c r="C15" s="14" t="s">
        <v>41</v>
      </c>
      <c r="D15" s="7">
        <v>21129</v>
      </c>
      <c r="E15" s="9">
        <v>6</v>
      </c>
      <c r="F15" s="3">
        <v>800</v>
      </c>
      <c r="G15" s="23">
        <f t="shared" ca="1" si="0"/>
        <v>3</v>
      </c>
      <c r="H15" s="24">
        <f t="shared" ca="1" si="1"/>
        <v>60</v>
      </c>
      <c r="I15" s="28">
        <f t="shared" si="2"/>
        <v>316.935</v>
      </c>
      <c r="J15" s="29">
        <f t="shared" si="3"/>
        <v>1.5896374507117596E-2</v>
      </c>
      <c r="K15" s="30">
        <f t="shared" si="4"/>
        <v>158.96374507117596</v>
      </c>
      <c r="L15" s="33" t="str">
        <f t="shared" si="5"/>
        <v/>
      </c>
      <c r="M15" s="33">
        <f t="shared" si="6"/>
        <v>50</v>
      </c>
      <c r="N15" s="20">
        <f t="shared" ca="1" si="7"/>
        <v>1385.8987450711759</v>
      </c>
    </row>
    <row r="16" spans="1:15" x14ac:dyDescent="0.3">
      <c r="A16" s="3" t="s">
        <v>42</v>
      </c>
      <c r="B16" s="3" t="s">
        <v>43</v>
      </c>
      <c r="C16" s="14" t="s">
        <v>44</v>
      </c>
      <c r="D16" s="7">
        <v>3146</v>
      </c>
      <c r="E16" s="9">
        <v>5</v>
      </c>
      <c r="F16" s="3">
        <v>800</v>
      </c>
      <c r="G16" s="23">
        <f t="shared" ca="1" si="0"/>
        <v>0</v>
      </c>
      <c r="H16" s="24">
        <f t="shared" ca="1" si="1"/>
        <v>0</v>
      </c>
      <c r="I16" s="28">
        <f t="shared" si="2"/>
        <v>47.19</v>
      </c>
      <c r="J16" s="29">
        <f t="shared" si="3"/>
        <v>2.3668888352213523E-3</v>
      </c>
      <c r="K16" s="30">
        <f t="shared" si="4"/>
        <v>23.668888352213521</v>
      </c>
      <c r="L16" s="33" t="str">
        <f t="shared" si="5"/>
        <v/>
      </c>
      <c r="M16" s="33">
        <f t="shared" si="6"/>
        <v>0</v>
      </c>
      <c r="N16" s="20">
        <f t="shared" ca="1" si="7"/>
        <v>870.85888835221363</v>
      </c>
    </row>
    <row r="17" spans="1:14" x14ac:dyDescent="0.3">
      <c r="A17" s="3" t="s">
        <v>45</v>
      </c>
      <c r="B17" s="3" t="s">
        <v>46</v>
      </c>
      <c r="C17" s="14" t="s">
        <v>47</v>
      </c>
      <c r="D17" s="7">
        <v>16201</v>
      </c>
      <c r="E17" s="9">
        <v>6</v>
      </c>
      <c r="F17" s="3">
        <v>800</v>
      </c>
      <c r="G17" s="23">
        <f t="shared" ca="1" si="0"/>
        <v>6</v>
      </c>
      <c r="H17" s="24">
        <f t="shared" ca="1" si="1"/>
        <v>120</v>
      </c>
      <c r="I17" s="28">
        <f t="shared" si="2"/>
        <v>243.01499999999999</v>
      </c>
      <c r="J17" s="29">
        <f t="shared" si="3"/>
        <v>1.2188800387610022E-2</v>
      </c>
      <c r="K17" s="30">
        <f t="shared" si="4"/>
        <v>121.88800387610021</v>
      </c>
      <c r="L17" s="33" t="str">
        <f t="shared" si="5"/>
        <v/>
      </c>
      <c r="M17" s="33">
        <f t="shared" si="6"/>
        <v>50</v>
      </c>
      <c r="N17" s="20">
        <f t="shared" ca="1" si="7"/>
        <v>1334.9030038761</v>
      </c>
    </row>
    <row r="18" spans="1:14" x14ac:dyDescent="0.3">
      <c r="A18" s="3" t="s">
        <v>48</v>
      </c>
      <c r="B18" s="3" t="s">
        <v>49</v>
      </c>
      <c r="C18" s="14" t="s">
        <v>50</v>
      </c>
      <c r="D18" s="7">
        <v>17283</v>
      </c>
      <c r="E18" s="9">
        <v>5</v>
      </c>
      <c r="F18" s="3">
        <v>800</v>
      </c>
      <c r="G18" s="23">
        <f t="shared" ca="1" si="0"/>
        <v>0</v>
      </c>
      <c r="H18" s="24">
        <f t="shared" ca="1" si="1"/>
        <v>0</v>
      </c>
      <c r="I18" s="28">
        <f t="shared" si="2"/>
        <v>259.245</v>
      </c>
      <c r="J18" s="29">
        <f t="shared" si="3"/>
        <v>1.3002841620829826E-2</v>
      </c>
      <c r="K18" s="30">
        <f t="shared" si="4"/>
        <v>130.02841620829827</v>
      </c>
      <c r="L18" s="33" t="str">
        <f t="shared" si="5"/>
        <v/>
      </c>
      <c r="M18" s="33">
        <f t="shared" si="6"/>
        <v>50</v>
      </c>
      <c r="N18" s="20">
        <f t="shared" ca="1" si="7"/>
        <v>1239.2734162082982</v>
      </c>
    </row>
    <row r="19" spans="1:14" x14ac:dyDescent="0.3">
      <c r="A19" s="3" t="s">
        <v>51</v>
      </c>
      <c r="B19" s="3" t="s">
        <v>52</v>
      </c>
      <c r="C19" s="14" t="s">
        <v>53</v>
      </c>
      <c r="D19" s="7">
        <v>22325</v>
      </c>
      <c r="E19" s="9">
        <v>2</v>
      </c>
      <c r="F19" s="3">
        <v>800</v>
      </c>
      <c r="G19" s="23">
        <f t="shared" ca="1" si="0"/>
        <v>9</v>
      </c>
      <c r="H19" s="24">
        <f t="shared" ca="1" si="1"/>
        <v>180</v>
      </c>
      <c r="I19" s="28">
        <f t="shared" si="2"/>
        <v>334.875</v>
      </c>
      <c r="J19" s="29">
        <f t="shared" si="3"/>
        <v>1.6796183485796787E-2</v>
      </c>
      <c r="K19" s="30">
        <f t="shared" si="4"/>
        <v>167.96183485796789</v>
      </c>
      <c r="L19" s="33" t="str">
        <f t="shared" si="5"/>
        <v/>
      </c>
      <c r="M19" s="33">
        <f t="shared" si="6"/>
        <v>50</v>
      </c>
      <c r="N19" s="20">
        <f t="shared" ca="1" si="7"/>
        <v>1532.8368348579679</v>
      </c>
    </row>
    <row r="20" spans="1:14" x14ac:dyDescent="0.3">
      <c r="A20" s="3" t="s">
        <v>54</v>
      </c>
      <c r="B20" s="3" t="s">
        <v>55</v>
      </c>
      <c r="C20" s="14" t="s">
        <v>56</v>
      </c>
      <c r="D20" s="7">
        <v>26907</v>
      </c>
      <c r="E20" s="9">
        <v>5</v>
      </c>
      <c r="F20" s="3">
        <v>800</v>
      </c>
      <c r="G20" s="23">
        <f t="shared" ca="1" si="0"/>
        <v>14</v>
      </c>
      <c r="H20" s="24">
        <f t="shared" ca="1" si="1"/>
        <v>280</v>
      </c>
      <c r="I20" s="28">
        <f t="shared" si="2"/>
        <v>403.60499999999996</v>
      </c>
      <c r="J20" s="29">
        <f t="shared" si="3"/>
        <v>2.0243444974348674E-2</v>
      </c>
      <c r="K20" s="30">
        <f t="shared" si="4"/>
        <v>202.43444974348674</v>
      </c>
      <c r="L20" s="33" t="str">
        <f t="shared" si="5"/>
        <v/>
      </c>
      <c r="M20" s="33">
        <f t="shared" si="6"/>
        <v>50</v>
      </c>
      <c r="N20" s="20">
        <f t="shared" ca="1" si="7"/>
        <v>1736.0394497434868</v>
      </c>
    </row>
    <row r="21" spans="1:14" x14ac:dyDescent="0.3">
      <c r="A21" s="3" t="s">
        <v>57</v>
      </c>
      <c r="B21" s="3" t="s">
        <v>58</v>
      </c>
      <c r="C21" s="14" t="s">
        <v>59</v>
      </c>
      <c r="D21" s="7">
        <v>13127</v>
      </c>
      <c r="E21" s="9">
        <v>10</v>
      </c>
      <c r="F21" s="3">
        <v>800</v>
      </c>
      <c r="G21" s="23">
        <f t="shared" ca="1" si="0"/>
        <v>9</v>
      </c>
      <c r="H21" s="24">
        <f t="shared" ca="1" si="1"/>
        <v>180</v>
      </c>
      <c r="I21" s="28">
        <f t="shared" si="2"/>
        <v>196.905</v>
      </c>
      <c r="J21" s="29">
        <f t="shared" si="3"/>
        <v>9.8760806547840713E-3</v>
      </c>
      <c r="K21" s="30">
        <f t="shared" si="4"/>
        <v>98.760806547840716</v>
      </c>
      <c r="L21" s="33" t="str">
        <f t="shared" si="5"/>
        <v>Trop de retards</v>
      </c>
      <c r="M21" s="33">
        <f t="shared" si="6"/>
        <v>0</v>
      </c>
      <c r="N21" s="20">
        <f t="shared" ca="1" si="7"/>
        <v>1275.6658065478407</v>
      </c>
    </row>
    <row r="22" spans="1:14" x14ac:dyDescent="0.3">
      <c r="A22" s="3" t="s">
        <v>60</v>
      </c>
      <c r="B22" s="3" t="s">
        <v>61</v>
      </c>
      <c r="C22" s="14" t="s">
        <v>62</v>
      </c>
      <c r="D22" s="7">
        <v>24567</v>
      </c>
      <c r="E22" s="9">
        <v>10</v>
      </c>
      <c r="F22" s="3">
        <v>800</v>
      </c>
      <c r="G22" s="23">
        <f t="shared" ca="1" si="0"/>
        <v>7</v>
      </c>
      <c r="H22" s="24">
        <f t="shared" ca="1" si="1"/>
        <v>140</v>
      </c>
      <c r="I22" s="28">
        <f t="shared" si="2"/>
        <v>368.505</v>
      </c>
      <c r="J22" s="29">
        <f t="shared" si="3"/>
        <v>1.848294914649808E-2</v>
      </c>
      <c r="K22" s="30">
        <f t="shared" si="4"/>
        <v>184.8294914649808</v>
      </c>
      <c r="L22" s="33" t="str">
        <f t="shared" si="5"/>
        <v>Trop de retards</v>
      </c>
      <c r="M22" s="33">
        <f t="shared" si="6"/>
        <v>0</v>
      </c>
      <c r="N22" s="20">
        <f t="shared" ca="1" si="7"/>
        <v>1493.3344914649808</v>
      </c>
    </row>
    <row r="23" spans="1:14" x14ac:dyDescent="0.3">
      <c r="A23" s="3" t="s">
        <v>63</v>
      </c>
      <c r="B23" s="3" t="s">
        <v>64</v>
      </c>
      <c r="C23" s="14" t="s">
        <v>65</v>
      </c>
      <c r="D23" s="7">
        <v>18934</v>
      </c>
      <c r="E23" s="9">
        <v>4</v>
      </c>
      <c r="F23" s="3">
        <v>800</v>
      </c>
      <c r="G23" s="23">
        <f t="shared" ca="1" si="0"/>
        <v>5</v>
      </c>
      <c r="H23" s="24">
        <f t="shared" ca="1" si="1"/>
        <v>100</v>
      </c>
      <c r="I23" s="28">
        <f t="shared" si="2"/>
        <v>284.01</v>
      </c>
      <c r="J23" s="29">
        <f t="shared" si="3"/>
        <v>1.4244969232702189E-2</v>
      </c>
      <c r="K23" s="30">
        <f t="shared" si="4"/>
        <v>142.44969232702189</v>
      </c>
      <c r="L23" s="33" t="str">
        <f t="shared" si="5"/>
        <v/>
      </c>
      <c r="M23" s="33">
        <f t="shared" si="6"/>
        <v>50</v>
      </c>
      <c r="N23" s="20">
        <f t="shared" ca="1" si="7"/>
        <v>1376.4596923270219</v>
      </c>
    </row>
    <row r="24" spans="1:14" x14ac:dyDescent="0.3">
      <c r="A24" s="3" t="s">
        <v>66</v>
      </c>
      <c r="B24" s="3" t="s">
        <v>67</v>
      </c>
      <c r="C24" s="14" t="s">
        <v>68</v>
      </c>
      <c r="D24" s="7">
        <v>15678</v>
      </c>
      <c r="E24" s="9">
        <v>0</v>
      </c>
      <c r="F24" s="3">
        <v>800</v>
      </c>
      <c r="G24" s="23">
        <f t="shared" ca="1" si="0"/>
        <v>2</v>
      </c>
      <c r="H24" s="24">
        <f t="shared" ca="1" si="1"/>
        <v>40</v>
      </c>
      <c r="I24" s="28">
        <f t="shared" si="2"/>
        <v>235.17</v>
      </c>
      <c r="J24" s="29">
        <f t="shared" si="3"/>
        <v>1.179532204659897E-2</v>
      </c>
      <c r="K24" s="30">
        <f t="shared" si="4"/>
        <v>117.9532204659897</v>
      </c>
      <c r="L24" s="33" t="str">
        <f t="shared" si="5"/>
        <v/>
      </c>
      <c r="M24" s="33">
        <f t="shared" si="6"/>
        <v>50</v>
      </c>
      <c r="N24" s="20">
        <f t="shared" ca="1" si="7"/>
        <v>1243.1232204659898</v>
      </c>
    </row>
    <row r="25" spans="1:14" x14ac:dyDescent="0.3">
      <c r="A25" s="3" t="s">
        <v>69</v>
      </c>
      <c r="B25" s="3" t="s">
        <v>70</v>
      </c>
      <c r="C25" s="14" t="s">
        <v>71</v>
      </c>
      <c r="D25" s="7">
        <v>29876</v>
      </c>
      <c r="E25" s="9">
        <v>2</v>
      </c>
      <c r="F25" s="3">
        <v>800</v>
      </c>
      <c r="G25" s="23">
        <f t="shared" ca="1" si="0"/>
        <v>8</v>
      </c>
      <c r="H25" s="24">
        <f t="shared" ca="1" si="1"/>
        <v>160</v>
      </c>
      <c r="I25" s="28">
        <f t="shared" si="2"/>
        <v>448.14</v>
      </c>
      <c r="J25" s="29">
        <f t="shared" si="3"/>
        <v>2.2477168099514659E-2</v>
      </c>
      <c r="K25" s="30">
        <f t="shared" si="4"/>
        <v>224.7716809951466</v>
      </c>
      <c r="L25" s="33" t="str">
        <f t="shared" si="5"/>
        <v/>
      </c>
      <c r="M25" s="33">
        <f t="shared" si="6"/>
        <v>50</v>
      </c>
      <c r="N25" s="20">
        <f t="shared" ca="1" si="7"/>
        <v>1682.9116809951465</v>
      </c>
    </row>
    <row r="26" spans="1:14" x14ac:dyDescent="0.3">
      <c r="A26" s="3" t="s">
        <v>72</v>
      </c>
      <c r="B26" s="3" t="s">
        <v>73</v>
      </c>
      <c r="C26" s="14" t="s">
        <v>74</v>
      </c>
      <c r="D26" s="7">
        <v>17543</v>
      </c>
      <c r="E26" s="9">
        <v>2</v>
      </c>
      <c r="F26" s="3">
        <v>800</v>
      </c>
      <c r="G26" s="23">
        <f t="shared" ca="1" si="0"/>
        <v>6</v>
      </c>
      <c r="H26" s="24">
        <f t="shared" ca="1" si="1"/>
        <v>120</v>
      </c>
      <c r="I26" s="28">
        <f t="shared" si="2"/>
        <v>263.14499999999998</v>
      </c>
      <c r="J26" s="29">
        <f t="shared" si="3"/>
        <v>1.319845226836878E-2</v>
      </c>
      <c r="K26" s="30">
        <f t="shared" si="4"/>
        <v>131.9845226836878</v>
      </c>
      <c r="L26" s="33" t="str">
        <f t="shared" si="5"/>
        <v/>
      </c>
      <c r="M26" s="33">
        <f t="shared" si="6"/>
        <v>50</v>
      </c>
      <c r="N26" s="20">
        <f t="shared" ca="1" si="7"/>
        <v>1365.1295226836878</v>
      </c>
    </row>
    <row r="27" spans="1:14" x14ac:dyDescent="0.3">
      <c r="A27" s="3" t="s">
        <v>75</v>
      </c>
      <c r="B27" s="3" t="s">
        <v>76</v>
      </c>
      <c r="C27" s="14" t="s">
        <v>77</v>
      </c>
      <c r="D27" s="7">
        <v>23456</v>
      </c>
      <c r="E27" s="9">
        <v>0</v>
      </c>
      <c r="F27" s="3">
        <v>800</v>
      </c>
      <c r="G27" s="23">
        <f t="shared" ca="1" si="0"/>
        <v>4</v>
      </c>
      <c r="H27" s="24">
        <f t="shared" ca="1" si="1"/>
        <v>80</v>
      </c>
      <c r="I27" s="28">
        <f t="shared" si="2"/>
        <v>351.84</v>
      </c>
      <c r="J27" s="29">
        <f t="shared" si="3"/>
        <v>1.7647089802591238E-2</v>
      </c>
      <c r="K27" s="30">
        <f t="shared" si="4"/>
        <v>176.47089802591239</v>
      </c>
      <c r="L27" s="33" t="str">
        <f t="shared" si="5"/>
        <v/>
      </c>
      <c r="M27" s="33">
        <f t="shared" si="6"/>
        <v>50</v>
      </c>
      <c r="N27" s="20">
        <f t="shared" ca="1" si="7"/>
        <v>1458.3108980259124</v>
      </c>
    </row>
    <row r="28" spans="1:14" x14ac:dyDescent="0.3">
      <c r="A28" s="3" t="s">
        <v>78</v>
      </c>
      <c r="B28" s="3" t="s">
        <v>79</v>
      </c>
      <c r="C28" s="14" t="s">
        <v>80</v>
      </c>
      <c r="D28" s="7">
        <v>31789</v>
      </c>
      <c r="E28" s="9">
        <v>10</v>
      </c>
      <c r="F28" s="3">
        <v>800</v>
      </c>
      <c r="G28" s="23">
        <f t="shared" ca="1" si="0"/>
        <v>7</v>
      </c>
      <c r="H28" s="24">
        <f t="shared" ca="1" si="1"/>
        <v>140</v>
      </c>
      <c r="I28" s="28">
        <f t="shared" si="2"/>
        <v>476.83499999999998</v>
      </c>
      <c r="J28" s="29">
        <f t="shared" si="3"/>
        <v>2.391641105621474E-2</v>
      </c>
      <c r="K28" s="30">
        <f t="shared" si="4"/>
        <v>239.16411056214739</v>
      </c>
      <c r="L28" s="33" t="str">
        <f t="shared" si="5"/>
        <v>Trop de retards</v>
      </c>
      <c r="M28" s="33">
        <f t="shared" si="6"/>
        <v>0</v>
      </c>
      <c r="N28" s="20">
        <f t="shared" ca="1" si="7"/>
        <v>1655.9991105621475</v>
      </c>
    </row>
    <row r="29" spans="1:14" x14ac:dyDescent="0.3">
      <c r="A29" s="3" t="s">
        <v>81</v>
      </c>
      <c r="B29" s="3" t="s">
        <v>82</v>
      </c>
      <c r="C29" s="14" t="s">
        <v>83</v>
      </c>
      <c r="D29" s="7">
        <v>11234</v>
      </c>
      <c r="E29" s="9">
        <v>2</v>
      </c>
      <c r="F29" s="3">
        <v>800</v>
      </c>
      <c r="G29" s="23">
        <f t="shared" ca="1" si="0"/>
        <v>1</v>
      </c>
      <c r="H29" s="24">
        <f t="shared" ca="1" si="1"/>
        <v>20</v>
      </c>
      <c r="I29" s="28">
        <f t="shared" si="2"/>
        <v>168.51</v>
      </c>
      <c r="J29" s="29">
        <f t="shared" si="3"/>
        <v>8.4518846709716062E-3</v>
      </c>
      <c r="K29" s="30">
        <f t="shared" si="4"/>
        <v>84.518846709716058</v>
      </c>
      <c r="L29" s="33" t="str">
        <f t="shared" si="5"/>
        <v/>
      </c>
      <c r="M29" s="33">
        <f t="shared" si="6"/>
        <v>50</v>
      </c>
      <c r="N29" s="20">
        <f t="shared" ca="1" si="7"/>
        <v>1123.0288467097162</v>
      </c>
    </row>
    <row r="30" spans="1:14" x14ac:dyDescent="0.3">
      <c r="A30" s="3" t="s">
        <v>84</v>
      </c>
      <c r="B30" s="3" t="s">
        <v>85</v>
      </c>
      <c r="C30" s="14" t="s">
        <v>86</v>
      </c>
      <c r="D30" s="7">
        <v>28901</v>
      </c>
      <c r="E30" s="9">
        <v>5</v>
      </c>
      <c r="F30" s="3">
        <v>800</v>
      </c>
      <c r="G30" s="23">
        <f t="shared" ca="1" si="0"/>
        <v>9</v>
      </c>
      <c r="H30" s="24">
        <f t="shared" ca="1" si="1"/>
        <v>180</v>
      </c>
      <c r="I30" s="28">
        <f t="shared" si="2"/>
        <v>433.51499999999999</v>
      </c>
      <c r="J30" s="29">
        <f t="shared" si="3"/>
        <v>2.1743628171243579E-2</v>
      </c>
      <c r="K30" s="30">
        <f t="shared" si="4"/>
        <v>217.4362817124358</v>
      </c>
      <c r="L30" s="33" t="str">
        <f t="shared" si="5"/>
        <v/>
      </c>
      <c r="M30" s="33">
        <f t="shared" si="6"/>
        <v>50</v>
      </c>
      <c r="N30" s="20">
        <f t="shared" ca="1" si="7"/>
        <v>1680.9512817124357</v>
      </c>
    </row>
    <row r="31" spans="1:14" x14ac:dyDescent="0.3">
      <c r="A31" s="3" t="s">
        <v>87</v>
      </c>
      <c r="B31" s="3" t="s">
        <v>88</v>
      </c>
      <c r="C31" s="14" t="s">
        <v>89</v>
      </c>
      <c r="D31" s="7">
        <v>19876</v>
      </c>
      <c r="E31" s="9">
        <v>4</v>
      </c>
      <c r="F31" s="3">
        <v>800</v>
      </c>
      <c r="G31" s="23">
        <f t="shared" ca="1" si="0"/>
        <v>5</v>
      </c>
      <c r="H31" s="24">
        <f t="shared" ca="1" si="1"/>
        <v>100</v>
      </c>
      <c r="I31" s="28">
        <f t="shared" si="2"/>
        <v>298.14</v>
      </c>
      <c r="J31" s="29">
        <f t="shared" si="3"/>
        <v>1.4953681655708709E-2</v>
      </c>
      <c r="K31" s="30">
        <f t="shared" si="4"/>
        <v>149.53681655708709</v>
      </c>
      <c r="L31" s="33" t="str">
        <f t="shared" si="5"/>
        <v/>
      </c>
      <c r="M31" s="33">
        <f t="shared" si="6"/>
        <v>50</v>
      </c>
      <c r="N31" s="20">
        <f t="shared" ca="1" si="7"/>
        <v>1397.676816557087</v>
      </c>
    </row>
    <row r="32" spans="1:14" x14ac:dyDescent="0.3">
      <c r="A32" s="3" t="s">
        <v>90</v>
      </c>
      <c r="B32" s="3" t="s">
        <v>91</v>
      </c>
      <c r="C32" s="14" t="s">
        <v>92</v>
      </c>
      <c r="D32" s="7">
        <v>25678</v>
      </c>
      <c r="E32" s="9">
        <v>0</v>
      </c>
      <c r="F32" s="3">
        <v>800</v>
      </c>
      <c r="G32" s="23">
        <f t="shared" ca="1" si="0"/>
        <v>3</v>
      </c>
      <c r="H32" s="24">
        <f t="shared" ca="1" si="1"/>
        <v>60</v>
      </c>
      <c r="I32" s="28">
        <f t="shared" si="2"/>
        <v>385.16999999999996</v>
      </c>
      <c r="J32" s="29">
        <f t="shared" si="3"/>
        <v>1.9318808490404921E-2</v>
      </c>
      <c r="K32" s="30">
        <f t="shared" si="4"/>
        <v>193.18808490404922</v>
      </c>
      <c r="L32" s="33" t="str">
        <f t="shared" si="5"/>
        <v/>
      </c>
      <c r="M32" s="33">
        <f t="shared" si="6"/>
        <v>50</v>
      </c>
      <c r="N32" s="20">
        <f t="shared" ca="1" si="7"/>
        <v>1488.3580849040493</v>
      </c>
    </row>
    <row r="33" spans="1:14" x14ac:dyDescent="0.3">
      <c r="A33" s="3" t="s">
        <v>93</v>
      </c>
      <c r="B33" s="3" t="s">
        <v>94</v>
      </c>
      <c r="C33" s="14" t="s">
        <v>95</v>
      </c>
      <c r="D33" s="7">
        <v>32145</v>
      </c>
      <c r="E33" s="9">
        <v>3</v>
      </c>
      <c r="F33" s="3">
        <v>800</v>
      </c>
      <c r="G33" s="23">
        <f t="shared" ca="1" si="0"/>
        <v>8</v>
      </c>
      <c r="H33" s="24">
        <f t="shared" ca="1" si="1"/>
        <v>160</v>
      </c>
      <c r="I33" s="28">
        <f t="shared" si="2"/>
        <v>482.17499999999995</v>
      </c>
      <c r="J33" s="29">
        <f t="shared" si="3"/>
        <v>2.418424717361423E-2</v>
      </c>
      <c r="K33" s="30">
        <f t="shared" si="4"/>
        <v>241.8424717361423</v>
      </c>
      <c r="L33" s="33" t="str">
        <f t="shared" si="5"/>
        <v/>
      </c>
      <c r="M33" s="33">
        <f t="shared" si="6"/>
        <v>50</v>
      </c>
      <c r="N33" s="20">
        <f t="shared" ca="1" si="7"/>
        <v>1734.0174717361422</v>
      </c>
    </row>
    <row r="34" spans="1:14" x14ac:dyDescent="0.3">
      <c r="A34" s="3" t="s">
        <v>96</v>
      </c>
      <c r="B34" s="3" t="s">
        <v>97</v>
      </c>
      <c r="C34" s="14" t="s">
        <v>98</v>
      </c>
      <c r="D34" s="7">
        <v>16789</v>
      </c>
      <c r="E34" s="9">
        <v>9</v>
      </c>
      <c r="F34" s="3">
        <v>800</v>
      </c>
      <c r="G34" s="23">
        <f t="shared" ca="1" si="0"/>
        <v>6</v>
      </c>
      <c r="H34" s="24">
        <f t="shared" ca="1" si="1"/>
        <v>120</v>
      </c>
      <c r="I34" s="28">
        <f t="shared" si="2"/>
        <v>251.83499999999998</v>
      </c>
      <c r="J34" s="29">
        <f t="shared" si="3"/>
        <v>1.2631181390505812E-2</v>
      </c>
      <c r="K34" s="30">
        <f t="shared" si="4"/>
        <v>126.31181390505812</v>
      </c>
      <c r="L34" s="33" t="str">
        <f t="shared" si="5"/>
        <v>Trop de retards</v>
      </c>
      <c r="M34" s="33">
        <f t="shared" si="6"/>
        <v>0</v>
      </c>
      <c r="N34" s="20">
        <f t="shared" ca="1" si="7"/>
        <v>1298.1468139050583</v>
      </c>
    </row>
    <row r="35" spans="1:14" x14ac:dyDescent="0.3">
      <c r="A35" s="3" t="s">
        <v>99</v>
      </c>
      <c r="B35" s="3" t="s">
        <v>100</v>
      </c>
      <c r="C35" s="14" t="s">
        <v>101</v>
      </c>
      <c r="D35" s="7">
        <v>21345</v>
      </c>
      <c r="E35" s="9">
        <v>4</v>
      </c>
      <c r="F35" s="3">
        <v>800</v>
      </c>
      <c r="G35" s="23">
        <f t="shared" ca="1" si="0"/>
        <v>4</v>
      </c>
      <c r="H35" s="24">
        <f t="shared" ca="1" si="1"/>
        <v>80</v>
      </c>
      <c r="I35" s="28">
        <f t="shared" si="2"/>
        <v>320.17500000000001</v>
      </c>
      <c r="J35" s="29">
        <f t="shared" si="3"/>
        <v>1.6058881814303802E-2</v>
      </c>
      <c r="K35" s="30">
        <f t="shared" si="4"/>
        <v>160.58881814303803</v>
      </c>
      <c r="L35" s="33" t="str">
        <f t="shared" si="5"/>
        <v/>
      </c>
      <c r="M35" s="33">
        <f t="shared" si="6"/>
        <v>50</v>
      </c>
      <c r="N35" s="20">
        <f t="shared" ca="1" si="7"/>
        <v>1410.763818143038</v>
      </c>
    </row>
    <row r="36" spans="1:14" x14ac:dyDescent="0.3">
      <c r="A36" s="3" t="s">
        <v>102</v>
      </c>
      <c r="B36" s="3" t="s">
        <v>103</v>
      </c>
      <c r="C36" s="14" t="s">
        <v>104</v>
      </c>
      <c r="D36" s="7">
        <v>27890</v>
      </c>
      <c r="E36" s="9">
        <v>5</v>
      </c>
      <c r="F36" s="3">
        <v>800</v>
      </c>
      <c r="G36" s="23">
        <f t="shared" ca="1" si="0"/>
        <v>7</v>
      </c>
      <c r="H36" s="24">
        <f t="shared" ca="1" si="1"/>
        <v>140</v>
      </c>
      <c r="I36" s="28">
        <f t="shared" si="2"/>
        <v>418.34999999999997</v>
      </c>
      <c r="J36" s="29">
        <f t="shared" si="3"/>
        <v>2.0983003691774797E-2</v>
      </c>
      <c r="K36" s="30">
        <f t="shared" si="4"/>
        <v>209.83003691774798</v>
      </c>
      <c r="L36" s="33" t="str">
        <f t="shared" si="5"/>
        <v/>
      </c>
      <c r="M36" s="33">
        <f t="shared" si="6"/>
        <v>50</v>
      </c>
      <c r="N36" s="20">
        <f t="shared" ca="1" si="7"/>
        <v>1618.1800369177479</v>
      </c>
    </row>
    <row r="37" spans="1:14" x14ac:dyDescent="0.3">
      <c r="A37" s="3" t="s">
        <v>105</v>
      </c>
      <c r="B37" s="3" t="s">
        <v>106</v>
      </c>
      <c r="C37" s="14" t="s">
        <v>107</v>
      </c>
      <c r="D37" s="7">
        <v>18234</v>
      </c>
      <c r="E37" s="9">
        <v>1</v>
      </c>
      <c r="F37" s="3">
        <v>800</v>
      </c>
      <c r="G37" s="23">
        <f t="shared" ca="1" si="0"/>
        <v>5</v>
      </c>
      <c r="H37" s="24">
        <f t="shared" ca="1" si="1"/>
        <v>100</v>
      </c>
      <c r="I37" s="28">
        <f t="shared" si="2"/>
        <v>273.51</v>
      </c>
      <c r="J37" s="29">
        <f t="shared" si="3"/>
        <v>1.3718325181635771E-2</v>
      </c>
      <c r="K37" s="30">
        <f t="shared" si="4"/>
        <v>137.18325181635771</v>
      </c>
      <c r="L37" s="33" t="str">
        <f t="shared" si="5"/>
        <v/>
      </c>
      <c r="M37" s="33">
        <f t="shared" si="6"/>
        <v>50</v>
      </c>
      <c r="N37" s="20">
        <f t="shared" ca="1" si="7"/>
        <v>1360.6932518163576</v>
      </c>
    </row>
    <row r="38" spans="1:14" x14ac:dyDescent="0.3">
      <c r="A38" s="3" t="s">
        <v>108</v>
      </c>
      <c r="B38" s="3" t="s">
        <v>109</v>
      </c>
      <c r="C38" s="14" t="s">
        <v>110</v>
      </c>
      <c r="D38" s="7">
        <v>30567</v>
      </c>
      <c r="E38" s="9">
        <v>2</v>
      </c>
      <c r="F38" s="3">
        <v>800</v>
      </c>
      <c r="G38" s="23">
        <f t="shared" ca="1" si="0"/>
        <v>8</v>
      </c>
      <c r="H38" s="24">
        <f t="shared" ca="1" si="1"/>
        <v>160</v>
      </c>
      <c r="I38" s="28">
        <f t="shared" si="2"/>
        <v>458.505</v>
      </c>
      <c r="J38" s="29">
        <f t="shared" si="3"/>
        <v>2.299704101278165E-2</v>
      </c>
      <c r="K38" s="30">
        <f t="shared" si="4"/>
        <v>229.97041012781651</v>
      </c>
      <c r="L38" s="33" t="str">
        <f t="shared" si="5"/>
        <v/>
      </c>
      <c r="M38" s="33">
        <f t="shared" si="6"/>
        <v>50</v>
      </c>
      <c r="N38" s="20">
        <f t="shared" ca="1" si="7"/>
        <v>1698.4754101278165</v>
      </c>
    </row>
    <row r="39" spans="1:14" x14ac:dyDescent="0.3">
      <c r="A39" s="3" t="s">
        <v>111</v>
      </c>
      <c r="B39" s="3" t="s">
        <v>112</v>
      </c>
      <c r="C39" s="14" t="s">
        <v>113</v>
      </c>
      <c r="D39" s="7">
        <v>14890</v>
      </c>
      <c r="E39" s="9">
        <v>1</v>
      </c>
      <c r="F39" s="3">
        <v>800</v>
      </c>
      <c r="G39" s="23">
        <f t="shared" ca="1" si="0"/>
        <v>6</v>
      </c>
      <c r="H39" s="24">
        <f t="shared" ca="1" si="1"/>
        <v>120</v>
      </c>
      <c r="I39" s="28">
        <f t="shared" si="2"/>
        <v>223.35</v>
      </c>
      <c r="J39" s="29">
        <f t="shared" si="3"/>
        <v>1.1202471314827061E-2</v>
      </c>
      <c r="K39" s="30">
        <f t="shared" si="4"/>
        <v>112.02471314827061</v>
      </c>
      <c r="L39" s="33" t="str">
        <f t="shared" si="5"/>
        <v/>
      </c>
      <c r="M39" s="33">
        <f t="shared" si="6"/>
        <v>50</v>
      </c>
      <c r="N39" s="20">
        <f t="shared" ca="1" si="7"/>
        <v>1305.3747131482705</v>
      </c>
    </row>
    <row r="40" spans="1:14" x14ac:dyDescent="0.3">
      <c r="A40" s="3" t="s">
        <v>114</v>
      </c>
      <c r="B40" s="3" t="s">
        <v>115</v>
      </c>
      <c r="C40" s="14" t="s">
        <v>116</v>
      </c>
      <c r="D40" s="7">
        <v>23456</v>
      </c>
      <c r="E40" s="9">
        <v>1</v>
      </c>
      <c r="F40" s="3">
        <v>800</v>
      </c>
      <c r="G40" s="23">
        <f t="shared" ca="1" si="0"/>
        <v>4</v>
      </c>
      <c r="H40" s="24">
        <f t="shared" ca="1" si="1"/>
        <v>80</v>
      </c>
      <c r="I40" s="28">
        <f t="shared" si="2"/>
        <v>351.84</v>
      </c>
      <c r="J40" s="29">
        <f t="shared" si="3"/>
        <v>1.7647089802591238E-2</v>
      </c>
      <c r="K40" s="30">
        <f t="shared" si="4"/>
        <v>176.47089802591239</v>
      </c>
      <c r="L40" s="33" t="str">
        <f t="shared" si="5"/>
        <v/>
      </c>
      <c r="M40" s="33">
        <f t="shared" si="6"/>
        <v>50</v>
      </c>
      <c r="N40" s="20">
        <f t="shared" ca="1" si="7"/>
        <v>1458.3108980259124</v>
      </c>
    </row>
    <row r="41" spans="1:14" x14ac:dyDescent="0.3">
      <c r="A41" s="3" t="s">
        <v>117</v>
      </c>
      <c r="B41" s="3" t="s">
        <v>118</v>
      </c>
      <c r="C41" s="14" t="s">
        <v>119</v>
      </c>
      <c r="D41" s="7">
        <v>29012</v>
      </c>
      <c r="E41" s="9">
        <v>8</v>
      </c>
      <c r="F41" s="3">
        <v>800</v>
      </c>
      <c r="G41" s="23">
        <f t="shared" ca="1" si="0"/>
        <v>7</v>
      </c>
      <c r="H41" s="24">
        <f t="shared" ca="1" si="1"/>
        <v>140</v>
      </c>
      <c r="I41" s="28">
        <f t="shared" si="2"/>
        <v>435.18</v>
      </c>
      <c r="J41" s="29">
        <f t="shared" si="3"/>
        <v>2.1827138870769827E-2</v>
      </c>
      <c r="K41" s="30">
        <f t="shared" si="4"/>
        <v>218.27138870769826</v>
      </c>
      <c r="L41" s="33" t="str">
        <f t="shared" si="5"/>
        <v>Trop de retards</v>
      </c>
      <c r="M41" s="33">
        <f t="shared" si="6"/>
        <v>0</v>
      </c>
      <c r="N41" s="20">
        <f t="shared" ca="1" si="7"/>
        <v>1593.4513887076982</v>
      </c>
    </row>
    <row r="42" spans="1:14" x14ac:dyDescent="0.3">
      <c r="A42" s="3" t="s">
        <v>120</v>
      </c>
      <c r="B42" s="3" t="s">
        <v>121</v>
      </c>
      <c r="C42" s="14" t="s">
        <v>122</v>
      </c>
      <c r="D42" s="7">
        <v>17345</v>
      </c>
      <c r="E42" s="9">
        <v>10</v>
      </c>
      <c r="F42" s="3">
        <v>800</v>
      </c>
      <c r="G42" s="23">
        <f t="shared" ca="1" si="0"/>
        <v>5</v>
      </c>
      <c r="H42" s="24">
        <f t="shared" ca="1" si="1"/>
        <v>100</v>
      </c>
      <c r="I42" s="28">
        <f t="shared" si="2"/>
        <v>260.17500000000001</v>
      </c>
      <c r="J42" s="29">
        <f t="shared" si="3"/>
        <v>1.3049487236781423E-2</v>
      </c>
      <c r="K42" s="30">
        <f t="shared" si="4"/>
        <v>130.49487236781422</v>
      </c>
      <c r="L42" s="33" t="str">
        <f t="shared" si="5"/>
        <v>Trop de retards</v>
      </c>
      <c r="M42" s="33">
        <f t="shared" si="6"/>
        <v>0</v>
      </c>
      <c r="N42" s="20">
        <f t="shared" ca="1" si="7"/>
        <v>1290.6698723678142</v>
      </c>
    </row>
    <row r="43" spans="1:14" x14ac:dyDescent="0.3">
      <c r="A43" s="3" t="s">
        <v>16</v>
      </c>
      <c r="B43" s="3" t="s">
        <v>123</v>
      </c>
      <c r="C43" s="14" t="s">
        <v>124</v>
      </c>
      <c r="D43" s="7">
        <v>25678</v>
      </c>
      <c r="E43" s="9">
        <v>5</v>
      </c>
      <c r="F43" s="3">
        <v>800</v>
      </c>
      <c r="G43" s="23">
        <f t="shared" ca="1" si="0"/>
        <v>8</v>
      </c>
      <c r="H43" s="24">
        <f t="shared" ca="1" si="1"/>
        <v>160</v>
      </c>
      <c r="I43" s="28">
        <f t="shared" si="2"/>
        <v>385.16999999999996</v>
      </c>
      <c r="J43" s="29">
        <f t="shared" si="3"/>
        <v>1.9318808490404921E-2</v>
      </c>
      <c r="K43" s="30">
        <f t="shared" si="4"/>
        <v>193.18808490404922</v>
      </c>
      <c r="L43" s="33" t="str">
        <f t="shared" si="5"/>
        <v/>
      </c>
      <c r="M43" s="33">
        <f t="shared" si="6"/>
        <v>50</v>
      </c>
      <c r="N43" s="20">
        <f t="shared" ca="1" si="7"/>
        <v>1588.3580849040493</v>
      </c>
    </row>
    <row r="44" spans="1:14" x14ac:dyDescent="0.3">
      <c r="A44" s="3" t="s">
        <v>125</v>
      </c>
      <c r="B44" s="3" t="s">
        <v>126</v>
      </c>
      <c r="C44" s="14" t="s">
        <v>127</v>
      </c>
      <c r="D44" s="7">
        <v>20123</v>
      </c>
      <c r="E44" s="9">
        <v>8</v>
      </c>
      <c r="F44" s="3">
        <v>800</v>
      </c>
      <c r="G44" s="23">
        <f t="shared" ca="1" si="0"/>
        <v>6</v>
      </c>
      <c r="H44" s="24">
        <f t="shared" ca="1" si="1"/>
        <v>120</v>
      </c>
      <c r="I44" s="28">
        <f t="shared" si="2"/>
        <v>301.84499999999997</v>
      </c>
      <c r="J44" s="29">
        <f t="shared" si="3"/>
        <v>1.5139511770870716E-2</v>
      </c>
      <c r="K44" s="30">
        <f t="shared" si="4"/>
        <v>151.39511770870715</v>
      </c>
      <c r="L44" s="33" t="str">
        <f t="shared" si="5"/>
        <v>Trop de retards</v>
      </c>
      <c r="M44" s="33">
        <f t="shared" si="6"/>
        <v>0</v>
      </c>
      <c r="N44" s="20">
        <f t="shared" ca="1" si="7"/>
        <v>1373.2401177087072</v>
      </c>
    </row>
    <row r="45" spans="1:14" x14ac:dyDescent="0.3">
      <c r="A45" s="3" t="s">
        <v>128</v>
      </c>
      <c r="B45" s="3" t="s">
        <v>129</v>
      </c>
      <c r="C45" s="14" t="s">
        <v>130</v>
      </c>
      <c r="D45" s="7">
        <v>33456</v>
      </c>
      <c r="E45" s="9">
        <v>0</v>
      </c>
      <c r="F45" s="3">
        <v>800</v>
      </c>
      <c r="G45" s="23">
        <f t="shared" ca="1" si="0"/>
        <v>4</v>
      </c>
      <c r="H45" s="24">
        <f t="shared" ca="1" si="1"/>
        <v>80</v>
      </c>
      <c r="I45" s="28">
        <f t="shared" si="2"/>
        <v>501.84</v>
      </c>
      <c r="J45" s="29">
        <f t="shared" si="3"/>
        <v>2.5170576246397191E-2</v>
      </c>
      <c r="K45" s="30">
        <f t="shared" si="4"/>
        <v>251.70576246397192</v>
      </c>
      <c r="L45" s="33" t="str">
        <f t="shared" si="5"/>
        <v/>
      </c>
      <c r="M45" s="33">
        <f t="shared" si="6"/>
        <v>50</v>
      </c>
      <c r="N45" s="20">
        <f t="shared" ca="1" si="7"/>
        <v>1683.5457624639719</v>
      </c>
    </row>
    <row r="46" spans="1:14" x14ac:dyDescent="0.3">
      <c r="A46" s="3" t="s">
        <v>131</v>
      </c>
      <c r="B46" s="3" t="s">
        <v>132</v>
      </c>
      <c r="C46" s="14" t="s">
        <v>133</v>
      </c>
      <c r="D46" s="7">
        <v>15678</v>
      </c>
      <c r="E46" s="9">
        <v>4</v>
      </c>
      <c r="F46" s="3">
        <v>800</v>
      </c>
      <c r="G46" s="23">
        <f t="shared" ca="1" si="0"/>
        <v>7</v>
      </c>
      <c r="H46" s="24">
        <f t="shared" ca="1" si="1"/>
        <v>140</v>
      </c>
      <c r="I46" s="28">
        <f t="shared" si="2"/>
        <v>235.17</v>
      </c>
      <c r="J46" s="29">
        <f t="shared" si="3"/>
        <v>1.179532204659897E-2</v>
      </c>
      <c r="K46" s="30">
        <f t="shared" si="4"/>
        <v>117.9532204659897</v>
      </c>
      <c r="L46" s="33" t="str">
        <f t="shared" si="5"/>
        <v/>
      </c>
      <c r="M46" s="33">
        <f t="shared" si="6"/>
        <v>50</v>
      </c>
      <c r="N46" s="20">
        <f t="shared" ca="1" si="7"/>
        <v>1343.1232204659898</v>
      </c>
    </row>
    <row r="47" spans="1:14" x14ac:dyDescent="0.3">
      <c r="A47" s="3" t="s">
        <v>134</v>
      </c>
      <c r="B47" s="3" t="s">
        <v>135</v>
      </c>
      <c r="C47" s="14" t="s">
        <v>136</v>
      </c>
      <c r="D47" s="7">
        <v>27890</v>
      </c>
      <c r="E47" s="9">
        <v>6</v>
      </c>
      <c r="F47" s="3">
        <v>800</v>
      </c>
      <c r="G47" s="23">
        <f t="shared" ca="1" si="0"/>
        <v>5</v>
      </c>
      <c r="H47" s="24">
        <f t="shared" ca="1" si="1"/>
        <v>100</v>
      </c>
      <c r="I47" s="28">
        <f t="shared" si="2"/>
        <v>418.34999999999997</v>
      </c>
      <c r="J47" s="29">
        <f t="shared" si="3"/>
        <v>2.0983003691774797E-2</v>
      </c>
      <c r="K47" s="30">
        <f t="shared" si="4"/>
        <v>209.83003691774798</v>
      </c>
      <c r="L47" s="33" t="str">
        <f t="shared" si="5"/>
        <v/>
      </c>
      <c r="M47" s="33">
        <f t="shared" si="6"/>
        <v>50</v>
      </c>
      <c r="N47" s="20">
        <f t="shared" ca="1" si="7"/>
        <v>1578.1800369177479</v>
      </c>
    </row>
    <row r="48" spans="1:14" x14ac:dyDescent="0.3">
      <c r="A48" s="3" t="s">
        <v>137</v>
      </c>
      <c r="B48" s="3" t="s">
        <v>138</v>
      </c>
      <c r="C48" s="14" t="s">
        <v>139</v>
      </c>
      <c r="D48" s="7">
        <v>22345</v>
      </c>
      <c r="E48" s="9">
        <v>10</v>
      </c>
      <c r="F48" s="3">
        <v>800</v>
      </c>
      <c r="G48" s="23">
        <f t="shared" ca="1" si="0"/>
        <v>8</v>
      </c>
      <c r="H48" s="24">
        <f t="shared" ca="1" si="1"/>
        <v>160</v>
      </c>
      <c r="I48" s="28">
        <f t="shared" si="2"/>
        <v>335.17500000000001</v>
      </c>
      <c r="J48" s="29">
        <f t="shared" si="3"/>
        <v>1.6811230458684399E-2</v>
      </c>
      <c r="K48" s="30">
        <f t="shared" si="4"/>
        <v>168.112304586844</v>
      </c>
      <c r="L48" s="33" t="str">
        <f t="shared" si="5"/>
        <v>Trop de retards</v>
      </c>
      <c r="M48" s="33">
        <f t="shared" si="6"/>
        <v>0</v>
      </c>
      <c r="N48" s="20">
        <f t="shared" ca="1" si="7"/>
        <v>1463.2873045868439</v>
      </c>
    </row>
    <row r="49" spans="1:14" x14ac:dyDescent="0.3">
      <c r="A49" s="3" t="s">
        <v>140</v>
      </c>
      <c r="B49" s="3" t="s">
        <v>141</v>
      </c>
      <c r="C49" s="14" t="s">
        <v>142</v>
      </c>
      <c r="D49" s="7">
        <v>18678</v>
      </c>
      <c r="E49" s="9">
        <v>9</v>
      </c>
      <c r="F49" s="3">
        <v>800</v>
      </c>
      <c r="G49" s="23">
        <f t="shared" ca="1" si="0"/>
        <v>6</v>
      </c>
      <c r="H49" s="24">
        <f t="shared" ca="1" si="1"/>
        <v>120</v>
      </c>
      <c r="I49" s="28">
        <f t="shared" si="2"/>
        <v>280.17</v>
      </c>
      <c r="J49" s="29">
        <f t="shared" si="3"/>
        <v>1.4052367979740755E-2</v>
      </c>
      <c r="K49" s="30">
        <f t="shared" si="4"/>
        <v>140.52367979740754</v>
      </c>
      <c r="L49" s="33" t="str">
        <f t="shared" si="5"/>
        <v>Trop de retards</v>
      </c>
      <c r="M49" s="33">
        <f t="shared" si="6"/>
        <v>0</v>
      </c>
      <c r="N49" s="20">
        <f t="shared" ca="1" si="7"/>
        <v>1340.6936797974076</v>
      </c>
    </row>
    <row r="50" spans="1:14" x14ac:dyDescent="0.3">
      <c r="A50" s="3" t="s">
        <v>143</v>
      </c>
      <c r="B50" s="3" t="s">
        <v>144</v>
      </c>
      <c r="C50" s="14" t="s">
        <v>145</v>
      </c>
      <c r="D50" s="7">
        <v>31234</v>
      </c>
      <c r="E50" s="9">
        <v>6</v>
      </c>
      <c r="F50" s="3">
        <v>800</v>
      </c>
      <c r="G50" s="23">
        <f t="shared" ca="1" si="0"/>
        <v>3</v>
      </c>
      <c r="H50" s="24">
        <f t="shared" ca="1" si="1"/>
        <v>60</v>
      </c>
      <c r="I50" s="28">
        <f t="shared" si="2"/>
        <v>468.51</v>
      </c>
      <c r="J50" s="29">
        <f t="shared" si="3"/>
        <v>2.3498857558583507E-2</v>
      </c>
      <c r="K50" s="30">
        <f t="shared" si="4"/>
        <v>234.98857558583506</v>
      </c>
      <c r="L50" s="33" t="str">
        <f t="shared" si="5"/>
        <v/>
      </c>
      <c r="M50" s="33">
        <f t="shared" si="6"/>
        <v>50</v>
      </c>
      <c r="N50" s="20">
        <f t="shared" ca="1" si="7"/>
        <v>1613.4985755858352</v>
      </c>
    </row>
    <row r="51" spans="1:14" x14ac:dyDescent="0.3">
      <c r="A51" s="3" t="s">
        <v>146</v>
      </c>
      <c r="B51" s="3" t="s">
        <v>147</v>
      </c>
      <c r="C51" s="14" t="s">
        <v>148</v>
      </c>
      <c r="D51" s="7">
        <v>24567</v>
      </c>
      <c r="E51" s="9">
        <v>3</v>
      </c>
      <c r="F51" s="3">
        <v>800</v>
      </c>
      <c r="G51" s="23">
        <f t="shared" ca="1" si="0"/>
        <v>7</v>
      </c>
      <c r="H51" s="24">
        <f t="shared" ca="1" si="1"/>
        <v>140</v>
      </c>
      <c r="I51" s="28">
        <f t="shared" si="2"/>
        <v>368.505</v>
      </c>
      <c r="J51" s="29">
        <f t="shared" si="3"/>
        <v>1.848294914649808E-2</v>
      </c>
      <c r="K51" s="30">
        <f t="shared" si="4"/>
        <v>184.8294914649808</v>
      </c>
      <c r="L51" s="33" t="str">
        <f t="shared" si="5"/>
        <v/>
      </c>
      <c r="M51" s="33">
        <f t="shared" si="6"/>
        <v>50</v>
      </c>
      <c r="N51" s="20">
        <f t="shared" ca="1" si="7"/>
        <v>1543.3344914649808</v>
      </c>
    </row>
    <row r="52" spans="1:14" x14ac:dyDescent="0.3">
      <c r="A52" s="3" t="s">
        <v>149</v>
      </c>
      <c r="B52" s="3" t="s">
        <v>150</v>
      </c>
      <c r="C52" s="14" t="s">
        <v>151</v>
      </c>
      <c r="D52" s="7">
        <v>16789</v>
      </c>
      <c r="E52" s="9">
        <v>7</v>
      </c>
      <c r="F52" s="3">
        <v>800</v>
      </c>
      <c r="G52" s="23">
        <f t="shared" ca="1" si="0"/>
        <v>5</v>
      </c>
      <c r="H52" s="24">
        <f t="shared" ca="1" si="1"/>
        <v>100</v>
      </c>
      <c r="I52" s="28">
        <f t="shared" si="2"/>
        <v>251.83499999999998</v>
      </c>
      <c r="J52" s="29">
        <f t="shared" si="3"/>
        <v>1.2631181390505812E-2</v>
      </c>
      <c r="K52" s="30">
        <f t="shared" si="4"/>
        <v>126.31181390505812</v>
      </c>
      <c r="L52" s="33" t="str">
        <f t="shared" si="5"/>
        <v/>
      </c>
      <c r="M52" s="33">
        <f t="shared" si="6"/>
        <v>0</v>
      </c>
      <c r="N52" s="20">
        <f t="shared" ca="1" si="7"/>
        <v>1278.1468139050583</v>
      </c>
    </row>
    <row r="53" spans="1:14" x14ac:dyDescent="0.3">
      <c r="A53" s="3" t="s">
        <v>152</v>
      </c>
      <c r="B53" s="3" t="s">
        <v>153</v>
      </c>
      <c r="C53" s="14" t="s">
        <v>154</v>
      </c>
      <c r="D53" s="7">
        <v>28901</v>
      </c>
      <c r="E53" s="9">
        <v>4</v>
      </c>
      <c r="F53" s="3">
        <v>800</v>
      </c>
      <c r="G53" s="23">
        <f t="shared" ca="1" si="0"/>
        <v>8</v>
      </c>
      <c r="H53" s="24">
        <f t="shared" ca="1" si="1"/>
        <v>160</v>
      </c>
      <c r="I53" s="28">
        <f t="shared" si="2"/>
        <v>433.51499999999999</v>
      </c>
      <c r="J53" s="29">
        <f t="shared" si="3"/>
        <v>2.1743628171243579E-2</v>
      </c>
      <c r="K53" s="30">
        <f t="shared" si="4"/>
        <v>217.4362817124358</v>
      </c>
      <c r="L53" s="33" t="str">
        <f t="shared" si="5"/>
        <v/>
      </c>
      <c r="M53" s="33">
        <f t="shared" si="6"/>
        <v>50</v>
      </c>
      <c r="N53" s="20">
        <f t="shared" ca="1" si="7"/>
        <v>1660.9512817124357</v>
      </c>
    </row>
    <row r="54" spans="1:14" x14ac:dyDescent="0.3">
      <c r="A54" s="3" t="s">
        <v>155</v>
      </c>
      <c r="B54" s="3" t="s">
        <v>156</v>
      </c>
      <c r="C54" s="14" t="s">
        <v>157</v>
      </c>
      <c r="D54" s="7">
        <v>19234</v>
      </c>
      <c r="E54" s="9">
        <v>1</v>
      </c>
      <c r="F54" s="3">
        <v>800</v>
      </c>
      <c r="G54" s="23">
        <f t="shared" ca="1" si="0"/>
        <v>6</v>
      </c>
      <c r="H54" s="24">
        <f t="shared" ca="1" si="1"/>
        <v>120</v>
      </c>
      <c r="I54" s="28">
        <f t="shared" si="2"/>
        <v>288.51</v>
      </c>
      <c r="J54" s="29">
        <f t="shared" si="3"/>
        <v>1.4470673826016366E-2</v>
      </c>
      <c r="K54" s="30">
        <f t="shared" si="4"/>
        <v>144.70673826016366</v>
      </c>
      <c r="L54" s="33" t="str">
        <f t="shared" si="5"/>
        <v/>
      </c>
      <c r="M54" s="33">
        <f t="shared" si="6"/>
        <v>50</v>
      </c>
      <c r="N54" s="20">
        <f t="shared" ca="1" si="7"/>
        <v>1403.2167382601638</v>
      </c>
    </row>
    <row r="55" spans="1:14" x14ac:dyDescent="0.3">
      <c r="A55" s="3" t="s">
        <v>158</v>
      </c>
      <c r="B55" s="3" t="s">
        <v>159</v>
      </c>
      <c r="C55" s="14" t="s">
        <v>160</v>
      </c>
      <c r="D55" s="7">
        <v>25567</v>
      </c>
      <c r="E55" s="9">
        <v>4</v>
      </c>
      <c r="F55" s="3">
        <v>800</v>
      </c>
      <c r="G55" s="23">
        <f t="shared" ca="1" si="0"/>
        <v>3</v>
      </c>
      <c r="H55" s="24">
        <f t="shared" ca="1" si="1"/>
        <v>60</v>
      </c>
      <c r="I55" s="28">
        <f t="shared" si="2"/>
        <v>383.505</v>
      </c>
      <c r="J55" s="29">
        <f t="shared" si="3"/>
        <v>1.9235297790878677E-2</v>
      </c>
      <c r="K55" s="30">
        <f t="shared" si="4"/>
        <v>192.35297790878676</v>
      </c>
      <c r="L55" s="33" t="str">
        <f t="shared" si="5"/>
        <v/>
      </c>
      <c r="M55" s="33">
        <f t="shared" si="6"/>
        <v>50</v>
      </c>
      <c r="N55" s="20">
        <f t="shared" ca="1" si="7"/>
        <v>1485.8579779087868</v>
      </c>
    </row>
    <row r="56" spans="1:14" x14ac:dyDescent="0.3">
      <c r="A56" s="3" t="s">
        <v>161</v>
      </c>
      <c r="B56" s="3" t="s">
        <v>162</v>
      </c>
      <c r="C56" s="14" t="s">
        <v>163</v>
      </c>
      <c r="D56" s="7">
        <v>32890</v>
      </c>
      <c r="E56" s="9">
        <v>9</v>
      </c>
      <c r="F56" s="3">
        <v>800</v>
      </c>
      <c r="G56" s="23">
        <f t="shared" ca="1" si="0"/>
        <v>7</v>
      </c>
      <c r="H56" s="24">
        <f t="shared" ca="1" si="1"/>
        <v>140</v>
      </c>
      <c r="I56" s="28">
        <f t="shared" si="2"/>
        <v>493.34999999999997</v>
      </c>
      <c r="J56" s="29">
        <f t="shared" si="3"/>
        <v>2.4744746913677774E-2</v>
      </c>
      <c r="K56" s="30">
        <f t="shared" si="4"/>
        <v>247.44746913677773</v>
      </c>
      <c r="L56" s="33" t="str">
        <f t="shared" si="5"/>
        <v>Trop de retards</v>
      </c>
      <c r="M56" s="33">
        <f t="shared" si="6"/>
        <v>0</v>
      </c>
      <c r="N56" s="20">
        <f t="shared" ca="1" si="7"/>
        <v>1680.7974691367776</v>
      </c>
    </row>
    <row r="57" spans="1:14" x14ac:dyDescent="0.3">
      <c r="A57" s="3" t="s">
        <v>164</v>
      </c>
      <c r="B57" s="3" t="s">
        <v>165</v>
      </c>
      <c r="C57" s="14" t="s">
        <v>166</v>
      </c>
      <c r="D57" s="7">
        <v>17123</v>
      </c>
      <c r="E57" s="9">
        <v>1</v>
      </c>
      <c r="F57" s="3">
        <v>800</v>
      </c>
      <c r="G57" s="23">
        <f t="shared" ca="1" si="0"/>
        <v>5</v>
      </c>
      <c r="H57" s="24">
        <f t="shared" ca="1" si="1"/>
        <v>100</v>
      </c>
      <c r="I57" s="28">
        <f t="shared" si="2"/>
        <v>256.84499999999997</v>
      </c>
      <c r="J57" s="29">
        <f t="shared" si="3"/>
        <v>1.2882465837728931E-2</v>
      </c>
      <c r="K57" s="30">
        <f t="shared" si="4"/>
        <v>128.8246583772893</v>
      </c>
      <c r="L57" s="33" t="str">
        <f t="shared" si="5"/>
        <v/>
      </c>
      <c r="M57" s="33">
        <f t="shared" si="6"/>
        <v>50</v>
      </c>
      <c r="N57" s="20">
        <f t="shared" ca="1" si="7"/>
        <v>1335.6696583772894</v>
      </c>
    </row>
    <row r="58" spans="1:14" x14ac:dyDescent="0.3">
      <c r="A58" s="3" t="s">
        <v>167</v>
      </c>
      <c r="B58" s="3" t="s">
        <v>168</v>
      </c>
      <c r="C58" s="14" t="s">
        <v>169</v>
      </c>
      <c r="D58" s="7">
        <v>23456</v>
      </c>
      <c r="E58" s="9">
        <v>9</v>
      </c>
      <c r="F58" s="3">
        <v>800</v>
      </c>
      <c r="G58" s="23">
        <f t="shared" ca="1" si="0"/>
        <v>8</v>
      </c>
      <c r="H58" s="24">
        <f t="shared" ca="1" si="1"/>
        <v>160</v>
      </c>
      <c r="I58" s="28">
        <f t="shared" si="2"/>
        <v>351.84</v>
      </c>
      <c r="J58" s="29">
        <f t="shared" si="3"/>
        <v>1.7647089802591238E-2</v>
      </c>
      <c r="K58" s="30">
        <f t="shared" si="4"/>
        <v>176.47089802591239</v>
      </c>
      <c r="L58" s="33" t="str">
        <f t="shared" si="5"/>
        <v>Trop de retards</v>
      </c>
      <c r="M58" s="33">
        <f t="shared" si="6"/>
        <v>0</v>
      </c>
      <c r="N58" s="20">
        <f t="shared" ca="1" si="7"/>
        <v>1488.3108980259124</v>
      </c>
    </row>
    <row r="59" spans="1:14" x14ac:dyDescent="0.3">
      <c r="A59" s="3" t="s">
        <v>170</v>
      </c>
      <c r="B59" s="3" t="s">
        <v>171</v>
      </c>
      <c r="C59" s="14" t="s">
        <v>172</v>
      </c>
      <c r="D59" s="7">
        <v>30789</v>
      </c>
      <c r="E59" s="9">
        <v>1</v>
      </c>
      <c r="F59" s="3">
        <v>800</v>
      </c>
      <c r="G59" s="23">
        <f t="shared" ca="1" si="0"/>
        <v>6</v>
      </c>
      <c r="H59" s="24">
        <f t="shared" ca="1" si="1"/>
        <v>120</v>
      </c>
      <c r="I59" s="28">
        <f t="shared" si="2"/>
        <v>461.83499999999998</v>
      </c>
      <c r="J59" s="29">
        <f t="shared" si="3"/>
        <v>2.3164062411834142E-2</v>
      </c>
      <c r="K59" s="30">
        <f t="shared" si="4"/>
        <v>231.64062411834144</v>
      </c>
      <c r="L59" s="33" t="str">
        <f t="shared" si="5"/>
        <v/>
      </c>
      <c r="M59" s="33">
        <f t="shared" si="6"/>
        <v>50</v>
      </c>
      <c r="N59" s="20">
        <f t="shared" ca="1" si="7"/>
        <v>1663.4756241183416</v>
      </c>
    </row>
    <row r="60" spans="1:14" x14ac:dyDescent="0.3">
      <c r="A60" s="3" t="s">
        <v>173</v>
      </c>
      <c r="B60" s="3" t="s">
        <v>174</v>
      </c>
      <c r="C60" s="14" t="s">
        <v>175</v>
      </c>
      <c r="D60" s="7">
        <v>21234</v>
      </c>
      <c r="E60" s="9">
        <v>5</v>
      </c>
      <c r="F60" s="3">
        <v>800</v>
      </c>
      <c r="G60" s="23">
        <f t="shared" ca="1" si="0"/>
        <v>3</v>
      </c>
      <c r="H60" s="24">
        <f t="shared" ca="1" si="1"/>
        <v>60</v>
      </c>
      <c r="I60" s="28">
        <f t="shared" si="2"/>
        <v>318.51</v>
      </c>
      <c r="J60" s="29">
        <f t="shared" si="3"/>
        <v>1.5975371114777558E-2</v>
      </c>
      <c r="K60" s="30">
        <f t="shared" si="4"/>
        <v>159.75371114777559</v>
      </c>
      <c r="L60" s="33" t="str">
        <f t="shared" si="5"/>
        <v/>
      </c>
      <c r="M60" s="33">
        <f t="shared" si="6"/>
        <v>50</v>
      </c>
      <c r="N60" s="20">
        <f t="shared" ca="1" si="7"/>
        <v>1388.2637111477757</v>
      </c>
    </row>
    <row r="61" spans="1:14" ht="15" thickBot="1" x14ac:dyDescent="0.35">
      <c r="A61" s="3" t="s">
        <v>176</v>
      </c>
      <c r="B61" s="3" t="s">
        <v>177</v>
      </c>
      <c r="C61" s="15" t="s">
        <v>178</v>
      </c>
      <c r="D61" s="16">
        <v>28567</v>
      </c>
      <c r="E61" s="9">
        <v>7</v>
      </c>
      <c r="F61" s="3">
        <v>800</v>
      </c>
      <c r="G61" s="23">
        <f t="shared" ca="1" si="0"/>
        <v>7</v>
      </c>
      <c r="H61" s="24">
        <f t="shared" ca="1" si="1"/>
        <v>140</v>
      </c>
      <c r="I61" s="28">
        <f t="shared" si="2"/>
        <v>428.505</v>
      </c>
      <c r="J61" s="29">
        <f t="shared" si="3"/>
        <v>2.1492343724020462E-2</v>
      </c>
      <c r="K61" s="30">
        <f t="shared" si="4"/>
        <v>214.92343724020463</v>
      </c>
      <c r="L61" s="33" t="str">
        <f t="shared" si="5"/>
        <v/>
      </c>
      <c r="M61" s="33">
        <f t="shared" si="6"/>
        <v>0</v>
      </c>
      <c r="N61" s="20">
        <f t="shared" ca="1" si="7"/>
        <v>1583.4284372402049</v>
      </c>
    </row>
    <row r="62" spans="1:14" ht="60" customHeight="1" thickBot="1" x14ac:dyDescent="0.35">
      <c r="A62" s="21"/>
      <c r="B62" s="21"/>
      <c r="C62" s="17" t="s">
        <v>192</v>
      </c>
      <c r="D62" s="18">
        <f>SUM(D2:D61)</f>
        <v>1329171</v>
      </c>
      <c r="E62" s="22"/>
      <c r="F62" s="21"/>
      <c r="G62" s="25"/>
      <c r="H62" s="25"/>
      <c r="I62" s="31"/>
      <c r="J62" s="31"/>
      <c r="K62" s="31"/>
      <c r="L62" s="34"/>
      <c r="M62" s="35" t="s">
        <v>193</v>
      </c>
      <c r="N62" s="19">
        <f ca="1">SUM(N2:N61)</f>
        <v>86987.565000000002</v>
      </c>
    </row>
  </sheetData>
  <conditionalFormatting sqref="L2:L61">
    <cfRule type="containsText" dxfId="0" priority="1" operator="containsText" text="Trop de retards">
      <formula>NOT(ISERROR(SEARCH("Trop de retards",L2)))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des équipes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Lagon</dc:creator>
  <cp:lastModifiedBy>Louis Lagon</cp:lastModifiedBy>
  <dcterms:created xsi:type="dcterms:W3CDTF">2025-01-12T12:46:53Z</dcterms:created>
  <dcterms:modified xsi:type="dcterms:W3CDTF">2025-01-12T13:22:19Z</dcterms:modified>
</cp:coreProperties>
</file>